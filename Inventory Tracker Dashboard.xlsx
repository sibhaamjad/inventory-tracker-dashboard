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F:\FAST-NUCES\Github Projects\"/>
    </mc:Choice>
  </mc:AlternateContent>
  <bookViews>
    <workbookView xWindow="0" yWindow="0" windowWidth="23040" windowHeight="9072" firstSheet="1" activeTab="2"/>
  </bookViews>
  <sheets>
    <sheet name="Sheet1" sheetId="3" state="hidden" r:id="rId1"/>
    <sheet name="Inventory" sheetId="1" r:id="rId2"/>
    <sheet name="Dashboard" sheetId="2" r:id="rId3"/>
  </sheets>
  <definedNames>
    <definedName name="Slicer_Category">#N/A</definedName>
    <definedName name="Slicer_Supplier">#N/A</definedName>
  </definedNames>
  <calcPr calcId="162913"/>
  <pivotCaches>
    <pivotCache cacheId="5"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C3" i="2" l="1"/>
  <c r="Q46" i="2"/>
  <c r="Q47" i="2"/>
  <c r="F3" i="2"/>
  <c r="Q48" i="2"/>
  <c r="Q49" i="2"/>
  <c r="I3" i="2"/>
  <c r="Q50" i="2"/>
  <c r="L3" i="2" l="1"/>
  <c r="K101" i="1" l="1"/>
  <c r="K100" i="1"/>
  <c r="K99" i="1"/>
  <c r="K98" i="1"/>
  <c r="K97" i="1"/>
  <c r="K96" i="1"/>
  <c r="K95" i="1"/>
  <c r="K94" i="1"/>
  <c r="K93" i="1"/>
  <c r="K92" i="1"/>
  <c r="K91" i="1"/>
  <c r="K90" i="1"/>
  <c r="K89" i="1"/>
  <c r="K88" i="1"/>
  <c r="K87" i="1"/>
  <c r="K86" i="1"/>
  <c r="K85" i="1"/>
  <c r="K84" i="1"/>
  <c r="K83" i="1"/>
  <c r="K82" i="1"/>
  <c r="K81" i="1"/>
  <c r="K80" i="1"/>
  <c r="K79" i="1"/>
  <c r="K78" i="1"/>
  <c r="K77" i="1"/>
  <c r="K76" i="1"/>
  <c r="K75" i="1"/>
  <c r="K74" i="1"/>
  <c r="K73" i="1"/>
  <c r="K72" i="1"/>
  <c r="K71" i="1"/>
  <c r="K70" i="1"/>
  <c r="K69" i="1"/>
  <c r="K68" i="1"/>
  <c r="K67" i="1"/>
  <c r="K66" i="1"/>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K3" i="1"/>
  <c r="K2" i="1"/>
</calcChain>
</file>

<file path=xl/sharedStrings.xml><?xml version="1.0" encoding="utf-8"?>
<sst xmlns="http://schemas.openxmlformats.org/spreadsheetml/2006/main" count="523" uniqueCount="158">
  <si>
    <t>Item ID</t>
  </si>
  <si>
    <t>Item Name</t>
  </si>
  <si>
    <t>Category</t>
  </si>
  <si>
    <t>SKU</t>
  </si>
  <si>
    <t>Supplier</t>
  </si>
  <si>
    <t>Unit Cost</t>
  </si>
  <si>
    <t>Quantity In Stock</t>
  </si>
  <si>
    <t>Reorder Level</t>
  </si>
  <si>
    <t>Location</t>
  </si>
  <si>
    <t>Last Restocked</t>
  </si>
  <si>
    <t>Status</t>
  </si>
  <si>
    <t>Cabinet</t>
  </si>
  <si>
    <t>Furniture</t>
  </si>
  <si>
    <t>FU-001</t>
  </si>
  <si>
    <t>StorageMax</t>
  </si>
  <si>
    <t>A2</t>
  </si>
  <si>
    <t>External HDD</t>
  </si>
  <si>
    <t>Accessories</t>
  </si>
  <si>
    <t>AC-002</t>
  </si>
  <si>
    <t>CableWorld</t>
  </si>
  <si>
    <t>A3</t>
  </si>
  <si>
    <t>Laptop</t>
  </si>
  <si>
    <t>Electronics</t>
  </si>
  <si>
    <t>EL-003</t>
  </si>
  <si>
    <t>OfficeMart</t>
  </si>
  <si>
    <t>D1</t>
  </si>
  <si>
    <t>Keyboard</t>
  </si>
  <si>
    <t>EL-004</t>
  </si>
  <si>
    <t>TechSource</t>
  </si>
  <si>
    <t>B1</t>
  </si>
  <si>
    <t>EL-005</t>
  </si>
  <si>
    <t>PaperHub</t>
  </si>
  <si>
    <t>B2</t>
  </si>
  <si>
    <t>Printer</t>
  </si>
  <si>
    <t>EL-006</t>
  </si>
  <si>
    <t>USB Cable</t>
  </si>
  <si>
    <t>AC-007</t>
  </si>
  <si>
    <t>NetLink</t>
  </si>
  <si>
    <t>FU-008</t>
  </si>
  <si>
    <t>C2</t>
  </si>
  <si>
    <t>Office Chair</t>
  </si>
  <si>
    <t>FU-009</t>
  </si>
  <si>
    <t>FU-010</t>
  </si>
  <si>
    <t>C1</t>
  </si>
  <si>
    <t>FU-011</t>
  </si>
  <si>
    <t>A4</t>
  </si>
  <si>
    <t>Projector</t>
  </si>
  <si>
    <t>EL-012</t>
  </si>
  <si>
    <t>AC-013</t>
  </si>
  <si>
    <t>A1</t>
  </si>
  <si>
    <t>Notebook</t>
  </si>
  <si>
    <t>Stationery</t>
  </si>
  <si>
    <t>ST-014</t>
  </si>
  <si>
    <t>FU-015</t>
  </si>
  <si>
    <t>ST-016</t>
  </si>
  <si>
    <t>Scanner</t>
  </si>
  <si>
    <t>EL-017</t>
  </si>
  <si>
    <t>Desk</t>
  </si>
  <si>
    <t>FU-018</t>
  </si>
  <si>
    <t>EL-019</t>
  </si>
  <si>
    <t>EL-020</t>
  </si>
  <si>
    <t>Headset</t>
  </si>
  <si>
    <t>AC-021</t>
  </si>
  <si>
    <t>D2</t>
  </si>
  <si>
    <t>EL-022</t>
  </si>
  <si>
    <t>Printer Paper</t>
  </si>
  <si>
    <t>ST-023</t>
  </si>
  <si>
    <t>ST-024</t>
  </si>
  <si>
    <t>Pen Pack</t>
  </si>
  <si>
    <t>ST-025</t>
  </si>
  <si>
    <t>EL-026</t>
  </si>
  <si>
    <t>EL-027</t>
  </si>
  <si>
    <t>EL-028</t>
  </si>
  <si>
    <t>AC-029</t>
  </si>
  <si>
    <t>ST-030</t>
  </si>
  <si>
    <t>AC-031</t>
  </si>
  <si>
    <t>Monitor</t>
  </si>
  <si>
    <t>EL-032</t>
  </si>
  <si>
    <t>FU-033</t>
  </si>
  <si>
    <t>FU-034</t>
  </si>
  <si>
    <t>Router</t>
  </si>
  <si>
    <t>Networking</t>
  </si>
  <si>
    <t>NE-035</t>
  </si>
  <si>
    <t>ST-036</t>
  </si>
  <si>
    <t>ST-037</t>
  </si>
  <si>
    <t>NE-038</t>
  </si>
  <si>
    <t>Switch</t>
  </si>
  <si>
    <t>NE-039</t>
  </si>
  <si>
    <t>EL-040</t>
  </si>
  <si>
    <t>Mouse</t>
  </si>
  <si>
    <t>EL-041</t>
  </si>
  <si>
    <t>Stapler</t>
  </si>
  <si>
    <t>ST-042</t>
  </si>
  <si>
    <t>EL-043</t>
  </si>
  <si>
    <t>EL-044</t>
  </si>
  <si>
    <t>EL-045</t>
  </si>
  <si>
    <t>NE-046</t>
  </si>
  <si>
    <t>EL-047</t>
  </si>
  <si>
    <t>NE-048</t>
  </si>
  <si>
    <t>NE-049</t>
  </si>
  <si>
    <t>EL-050</t>
  </si>
  <si>
    <t>EL-051</t>
  </si>
  <si>
    <t>EL-052</t>
  </si>
  <si>
    <t>Webcam</t>
  </si>
  <si>
    <t>AC-053</t>
  </si>
  <si>
    <t>AC-054</t>
  </si>
  <si>
    <t>EL-055</t>
  </si>
  <si>
    <t>EL-056</t>
  </si>
  <si>
    <t>EL-057</t>
  </si>
  <si>
    <t>ST-058</t>
  </si>
  <si>
    <t>AC-059</t>
  </si>
  <si>
    <t>ST-060</t>
  </si>
  <si>
    <t>EL-061</t>
  </si>
  <si>
    <t>EL-062</t>
  </si>
  <si>
    <t>AC-063</t>
  </si>
  <si>
    <t>AC-064</t>
  </si>
  <si>
    <t>ST-065</t>
  </si>
  <si>
    <t>ST-066</t>
  </si>
  <si>
    <t>EL-067</t>
  </si>
  <si>
    <t>EL-068</t>
  </si>
  <si>
    <t>EL-069</t>
  </si>
  <si>
    <t>ST-070</t>
  </si>
  <si>
    <t>EL-071</t>
  </si>
  <si>
    <t>ST-072</t>
  </si>
  <si>
    <t>EL-073</t>
  </si>
  <si>
    <t>FU-074</t>
  </si>
  <si>
    <t>ST-075</t>
  </si>
  <si>
    <t>AC-076</t>
  </si>
  <si>
    <t>ST-077</t>
  </si>
  <si>
    <t>NE-078</t>
  </si>
  <si>
    <t>ST-079</t>
  </si>
  <si>
    <t>ST-080</t>
  </si>
  <si>
    <t>EL-081</t>
  </si>
  <si>
    <t>FU-082</t>
  </si>
  <si>
    <t>FU-083</t>
  </si>
  <si>
    <t>ST-084</t>
  </si>
  <si>
    <t>AC-085</t>
  </si>
  <si>
    <t>EL-086</t>
  </si>
  <si>
    <t>EL-087</t>
  </si>
  <si>
    <t>ST-088</t>
  </si>
  <si>
    <t>FU-089</t>
  </si>
  <si>
    <t>FU-090</t>
  </si>
  <si>
    <t>NE-091</t>
  </si>
  <si>
    <t>ST-092</t>
  </si>
  <si>
    <t>EL-093</t>
  </si>
  <si>
    <t>EL-094</t>
  </si>
  <si>
    <t>ST-095</t>
  </si>
  <si>
    <t>NE-096</t>
  </si>
  <si>
    <t>AC-097</t>
  </si>
  <si>
    <t>ST-098</t>
  </si>
  <si>
    <t>NE-099</t>
  </si>
  <si>
    <t>NE-100</t>
  </si>
  <si>
    <t>Total Items</t>
  </si>
  <si>
    <t>Total stock value</t>
  </si>
  <si>
    <t>Total categories</t>
  </si>
  <si>
    <t>Total Stock</t>
  </si>
  <si>
    <t>Inventory Tracker Dashboard</t>
  </si>
  <si>
    <t>Low stock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</si>
</sst>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yyyy\-mm\-dd"/>
    <numFmt numFmtId="165" formatCode="_-[$$-409]* #,##0.00_ ;_-[$$-409]* \-#,##0.00\ ;_-[$$-409]* &quot;-&quot;??_ ;_-@_ "/>
  </numFmts>
  <fonts count="6" x14ac:knownFonts="1">
    <font>
      <sz val="11"/>
      <color theme="1"/>
      <name val="Calibri"/>
      <family val="2"/>
      <scheme val="minor"/>
    </font>
    <font>
      <b/>
      <sz val="11"/>
      <color theme="1"/>
      <name val="Calibri"/>
      <family val="2"/>
      <scheme val="minor"/>
    </font>
    <font>
      <b/>
      <sz val="11"/>
      <color theme="3" tint="-0.499984740745262"/>
      <name val="Calibri"/>
      <family val="2"/>
      <scheme val="minor"/>
    </font>
    <font>
      <b/>
      <sz val="11"/>
      <color theme="0"/>
      <name val="Calibri"/>
      <family val="2"/>
      <scheme val="minor"/>
    </font>
    <font>
      <sz val="11"/>
      <color theme="0"/>
      <name val="Calibri"/>
      <family val="2"/>
      <scheme val="minor"/>
    </font>
    <font>
      <b/>
      <sz val="14"/>
      <color theme="0"/>
      <name val="Calibri"/>
      <family val="2"/>
      <scheme val="minor"/>
    </font>
  </fonts>
  <fills count="9">
    <fill>
      <patternFill patternType="none"/>
    </fill>
    <fill>
      <patternFill patternType="gray125"/>
    </fill>
    <fill>
      <patternFill patternType="solid">
        <fgColor theme="5" tint="0.59999389629810485"/>
        <bgColor indexed="64"/>
      </patternFill>
    </fill>
    <fill>
      <patternFill patternType="solid">
        <fgColor theme="6" tint="0.39997558519241921"/>
        <bgColor indexed="64"/>
      </patternFill>
    </fill>
    <fill>
      <patternFill patternType="solid">
        <fgColor theme="9" tint="0.39997558519241921"/>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8" tint="-0.499984740745262"/>
        <bgColor indexed="64"/>
      </patternFill>
    </fill>
    <fill>
      <patternFill patternType="solid">
        <fgColor theme="3" tint="-0.499984740745262"/>
        <bgColor indexed="64"/>
      </patternFill>
    </fill>
  </fills>
  <borders count="14">
    <border>
      <left/>
      <right/>
      <top/>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style="thin">
        <color theme="3" tint="-0.499984740745262"/>
      </left>
      <right style="thin">
        <color theme="3" tint="-0.499984740745262"/>
      </right>
      <top style="thin">
        <color theme="3" tint="-0.499984740745262"/>
      </top>
      <bottom style="thin">
        <color theme="3" tint="-0.499984740745262"/>
      </bottom>
      <diagonal/>
    </border>
    <border>
      <left/>
      <right style="thin">
        <color theme="0"/>
      </right>
      <top/>
      <bottom style="thin">
        <color theme="0"/>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28">
    <xf numFmtId="0" fontId="0" fillId="0" borderId="0" xfId="0"/>
    <xf numFmtId="164" fontId="0" fillId="0" borderId="0" xfId="0" applyNumberFormat="1"/>
    <xf numFmtId="0" fontId="0" fillId="4" borderId="2" xfId="0" applyFill="1" applyBorder="1"/>
    <xf numFmtId="0" fontId="0" fillId="5" borderId="0" xfId="0" applyFill="1"/>
    <xf numFmtId="0" fontId="1" fillId="5" borderId="0" xfId="0" applyFont="1" applyFill="1"/>
    <xf numFmtId="0" fontId="0" fillId="5" borderId="0" xfId="0" applyFill="1" applyBorder="1"/>
    <xf numFmtId="0" fontId="0" fillId="5" borderId="1" xfId="0" applyFill="1" applyBorder="1"/>
    <xf numFmtId="0" fontId="0" fillId="5" borderId="4" xfId="0" applyFill="1" applyBorder="1"/>
    <xf numFmtId="0" fontId="0" fillId="5" borderId="0" xfId="0" applyNumberFormat="1" applyFill="1" applyBorder="1"/>
    <xf numFmtId="0" fontId="2" fillId="6" borderId="2" xfId="0" applyFont="1" applyFill="1" applyBorder="1"/>
    <xf numFmtId="0" fontId="0" fillId="6" borderId="2" xfId="0" applyFill="1" applyBorder="1"/>
    <xf numFmtId="0" fontId="2" fillId="3" borderId="2" xfId="0" applyFont="1" applyFill="1" applyBorder="1"/>
    <xf numFmtId="165" fontId="0" fillId="3" borderId="2" xfId="0" applyNumberFormat="1" applyFill="1" applyBorder="1"/>
    <xf numFmtId="0" fontId="2" fillId="4" borderId="2" xfId="0" applyFont="1" applyFill="1" applyBorder="1"/>
    <xf numFmtId="165" fontId="2" fillId="2" borderId="2" xfId="0" applyNumberFormat="1" applyFont="1" applyFill="1" applyBorder="1"/>
    <xf numFmtId="1" fontId="0" fillId="2" borderId="2" xfId="0" applyNumberFormat="1" applyFill="1" applyBorder="1"/>
    <xf numFmtId="0" fontId="3" fillId="7" borderId="3" xfId="0" applyFont="1" applyFill="1" applyBorder="1"/>
    <xf numFmtId="0" fontId="4" fillId="7" borderId="3" xfId="0" applyFont="1" applyFill="1"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5" fillId="8" borderId="0" xfId="0" applyFont="1" applyFill="1" applyAlignment="1">
      <alignment horizontal="center"/>
    </xf>
  </cellXfs>
  <cellStyles count="1">
    <cellStyle name="Normal" xfId="0" builtinId="0"/>
  </cellStyles>
  <dxfs count="5">
    <dxf>
      <fill>
        <patternFill>
          <bgColor theme="3" tint="-0.499984740745262"/>
        </patternFill>
      </fill>
    </dxf>
    <dxf>
      <fill>
        <patternFill>
          <bgColor theme="3" tint="-0.499984740745262"/>
        </patternFill>
      </fill>
    </dxf>
    <dxf>
      <fill>
        <patternFill>
          <bgColor rgb="FFFF0000"/>
        </patternFill>
      </fill>
    </dxf>
    <dxf>
      <fill>
        <patternFill>
          <bgColor rgb="FFFF0000"/>
        </patternFill>
      </fill>
    </dxf>
    <dxf>
      <numFmt numFmtId="164" formatCode="yyyy\-mm\-dd"/>
    </dxf>
  </dxfs>
  <tableStyles count="2" defaultTableStyle="TableStyleMedium9" defaultPivotStyle="PivotStyleLight16">
    <tableStyle name="Slicer Style 1" pivot="0" table="0" count="1">
      <tableStyleElement type="wholeTable" dxfId="1"/>
    </tableStyle>
    <tableStyle name="Slicer Style 2" pivot="0" table="0" count="1">
      <tableStyleElement type="wholeTable" dxfId="0"/>
    </tableStyle>
  </tableStyles>
  <colors>
    <mruColors>
      <color rgb="FFFF0000"/>
      <color rgb="FFFF5050"/>
      <color rgb="FFFF7C80"/>
    </mruColors>
  </colors>
  <extLst>
    <ext xmlns:x14="http://schemas.microsoft.com/office/spreadsheetml/2009/9/main" uri="{EB79DEF2-80B8-43e5-95BD-54CBDDF9020C}">
      <x14:slicerStyles defaultSlicerStyle="Slicer Style 2">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baseline="0">
                <a:solidFill>
                  <a:schemeClr val="tx2">
                    <a:lumMod val="50000"/>
                  </a:schemeClr>
                </a:solidFill>
                <a:latin typeface="+mn-lt"/>
                <a:ea typeface="+mn-ea"/>
                <a:cs typeface="+mn-cs"/>
              </a:defRPr>
            </a:pPr>
            <a:r>
              <a:rPr lang="en-US" sz="1400">
                <a:solidFill>
                  <a:schemeClr val="tx2">
                    <a:lumMod val="50000"/>
                  </a:schemeClr>
                </a:solidFill>
              </a:rPr>
              <a:t>Stock By Category</a:t>
            </a:r>
          </a:p>
        </c:rich>
      </c:tx>
      <c:layout/>
      <c:overlay val="0"/>
      <c:spPr>
        <a:noFill/>
        <a:ln>
          <a:noFill/>
        </a:ln>
        <a:effectLst/>
      </c:spPr>
      <c:txPr>
        <a:bodyPr rot="0" spcFirstLastPara="1" vertOverflow="ellipsis" vert="horz" wrap="square" anchor="ctr" anchorCtr="1"/>
        <a:lstStyle/>
        <a:p>
          <a:pPr>
            <a:defRPr sz="1400" b="1" i="0" u="none" strike="noStrike" kern="1200" baseline="0">
              <a:solidFill>
                <a:schemeClr val="tx2">
                  <a:lumMod val="50000"/>
                </a:schemeClr>
              </a:solidFill>
              <a:latin typeface="+mn-lt"/>
              <a:ea typeface="+mn-ea"/>
              <a:cs typeface="+mn-cs"/>
            </a:defRPr>
          </a:pPr>
          <a:endParaRPr lang="en-US"/>
        </a:p>
      </c:txPr>
    </c:title>
    <c:autoTitleDeleted val="0"/>
    <c:plotArea>
      <c:layout/>
      <c:pieChart>
        <c:varyColors val="1"/>
        <c:ser>
          <c:idx val="0"/>
          <c:order val="0"/>
          <c:tx>
            <c:strRef>
              <c:f>Dashboard!$Q$45</c:f>
              <c:strCache>
                <c:ptCount val="1"/>
                <c:pt idx="0">
                  <c:v>Total Stock</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layout/>
              </c:ext>
            </c:extLst>
          </c:dLbls>
          <c:cat>
            <c:strRef>
              <c:f>Dashboard!$P$46:$P$50</c:f>
              <c:strCache>
                <c:ptCount val="5"/>
                <c:pt idx="0">
                  <c:v>Furniture</c:v>
                </c:pt>
                <c:pt idx="1">
                  <c:v>Electronics</c:v>
                </c:pt>
                <c:pt idx="2">
                  <c:v>Networking</c:v>
                </c:pt>
                <c:pt idx="3">
                  <c:v>Accessories</c:v>
                </c:pt>
                <c:pt idx="4">
                  <c:v>Stationery</c:v>
                </c:pt>
              </c:strCache>
            </c:strRef>
          </c:cat>
          <c:val>
            <c:numRef>
              <c:f>Dashboard!$Q$46:$Q$50</c:f>
              <c:numCache>
                <c:formatCode>General</c:formatCode>
                <c:ptCount val="5"/>
                <c:pt idx="0">
                  <c:v>4971</c:v>
                </c:pt>
                <c:pt idx="1">
                  <c:v>8764</c:v>
                </c:pt>
                <c:pt idx="2">
                  <c:v>2811</c:v>
                </c:pt>
                <c:pt idx="3">
                  <c:v>3514</c:v>
                </c:pt>
                <c:pt idx="4">
                  <c:v>6027</c:v>
                </c:pt>
              </c:numCache>
            </c:numRef>
          </c:val>
          <c:extLst>
            <c:ext xmlns:c16="http://schemas.microsoft.com/office/drawing/2014/chart" uri="{C3380CC4-5D6E-409C-BE32-E72D297353CC}">
              <c16:uniqueId val="{00000000-CBE8-4772-B025-C9D4DB39D4C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layout/>
      <c:overlay val="0"/>
      <c:spPr>
        <a:solidFill>
          <a:schemeClr val="bg1">
            <a:lumMod val="75000"/>
          </a:schemeClr>
        </a:solidFill>
        <a:ln>
          <a:noFill/>
        </a:ln>
        <a:effectLst/>
      </c:spPr>
      <c:txPr>
        <a:bodyPr rot="0" spcFirstLastPara="1" vertOverflow="ellipsis" vert="horz" wrap="square" anchor="ctr" anchorCtr="1"/>
        <a:lstStyle/>
        <a:p>
          <a:pPr>
            <a:defRPr sz="900" b="0" i="0" u="none" strike="noStrike" kern="1200" baseline="0">
              <a:solidFill>
                <a:schemeClr val="tx2">
                  <a:lumMod val="50000"/>
                </a:schemeClr>
              </a:solidFill>
              <a:latin typeface="+mn-lt"/>
              <a:ea typeface="+mn-ea"/>
              <a:cs typeface="+mn-cs"/>
            </a:defRPr>
          </a:pPr>
          <a:endParaRPr lang="en-US"/>
        </a:p>
      </c:txPr>
    </c:legend>
    <c:plotVisOnly val="1"/>
    <c:dispBlanksAs val="gap"/>
    <c:showDLblsOverMax val="0"/>
  </c:chart>
  <c:spPr>
    <a:no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3</xdr:row>
      <xdr:rowOff>106680</xdr:rowOff>
    </xdr:from>
    <xdr:to>
      <xdr:col>12</xdr:col>
      <xdr:colOff>53340</xdr:colOff>
      <xdr:row>17</xdr:row>
      <xdr:rowOff>7620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38100</xdr:colOff>
      <xdr:row>17</xdr:row>
      <xdr:rowOff>152400</xdr:rowOff>
    </xdr:from>
    <xdr:to>
      <xdr:col>8</xdr:col>
      <xdr:colOff>182880</xdr:colOff>
      <xdr:row>31</xdr:row>
      <xdr:rowOff>59055</xdr:rowOff>
    </xdr:to>
    <mc:AlternateContent xmlns:mc="http://schemas.openxmlformats.org/markup-compatibility/2006">
      <mc:Choice xmlns:a14="http://schemas.microsoft.com/office/drawing/2010/main" Requires="a14">
        <xdr:graphicFrame macro="">
          <xdr:nvGraphicFramePr>
            <xdr:cNvPr id="4"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311140" y="33070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114300</xdr:colOff>
      <xdr:row>17</xdr:row>
      <xdr:rowOff>167640</xdr:rowOff>
    </xdr:from>
    <xdr:to>
      <xdr:col>5</xdr:col>
      <xdr:colOff>899160</xdr:colOff>
      <xdr:row>31</xdr:row>
      <xdr:rowOff>74295</xdr:rowOff>
    </xdr:to>
    <mc:AlternateContent xmlns:mc="http://schemas.openxmlformats.org/markup-compatibility/2006">
      <mc:Choice xmlns:a14="http://schemas.microsoft.com/office/drawing/2010/main" Requires="a14">
        <xdr:graphicFrame macro="">
          <xdr:nvGraphicFramePr>
            <xdr:cNvPr id="5" name="Supplier"/>
            <xdr:cNvGraphicFramePr/>
          </xdr:nvGraphicFramePr>
          <xdr:xfrm>
            <a:off x="0" y="0"/>
            <a:ext cx="0" cy="0"/>
          </xdr:xfrm>
          <a:graphic>
            <a:graphicData uri="http://schemas.microsoft.com/office/drawing/2010/slicer">
              <sle:slicer xmlns:sle="http://schemas.microsoft.com/office/drawing/2010/slicer" name="Supplier"/>
            </a:graphicData>
          </a:graphic>
        </xdr:graphicFrame>
      </mc:Choice>
      <mc:Fallback>
        <xdr:sp macro="" textlink="">
          <xdr:nvSpPr>
            <xdr:cNvPr id="0" name=""/>
            <xdr:cNvSpPr>
              <a:spLocks noTextEdit="1"/>
            </xdr:cNvSpPr>
          </xdr:nvSpPr>
          <xdr:spPr>
            <a:xfrm>
              <a:off x="3291840" y="33223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istrator" refreshedDate="46194.685065277779" createdVersion="6" refreshedVersion="6" minRefreshableVersion="3" recordCount="100">
  <cacheSource type="worksheet">
    <worksheetSource name="InventoryData"/>
  </cacheSource>
  <cacheFields count="11">
    <cacheField name="Item ID" numFmtId="0">
      <sharedItems containsSemiMixedTypes="0" containsString="0" containsNumber="1" containsInteger="1" minValue="1001" maxValue="1100"/>
    </cacheField>
    <cacheField name="Item Name" numFmtId="0">
      <sharedItems count="20">
        <s v="Cabinet"/>
        <s v="External HDD"/>
        <s v="Laptop"/>
        <s v="Keyboard"/>
        <s v="Printer"/>
        <s v="USB Cable"/>
        <s v="Office Chair"/>
        <s v="Projector"/>
        <s v="Notebook"/>
        <s v="Scanner"/>
        <s v="Desk"/>
        <s v="Headset"/>
        <s v="Printer Paper"/>
        <s v="Pen Pack"/>
        <s v="Monitor"/>
        <s v="Router"/>
        <s v="Switch"/>
        <s v="Mouse"/>
        <s v="Stapler"/>
        <s v="Webcam"/>
      </sharedItems>
    </cacheField>
    <cacheField name="Category" numFmtId="0">
      <sharedItems count="5">
        <s v="Furniture"/>
        <s v="Accessories"/>
        <s v="Electronics"/>
        <s v="Stationery"/>
        <s v="Networking"/>
      </sharedItems>
    </cacheField>
    <cacheField name="SKU" numFmtId="0">
      <sharedItems/>
    </cacheField>
    <cacheField name="Supplier" numFmtId="0">
      <sharedItems count="6">
        <s v="StorageMax"/>
        <s v="CableWorld"/>
        <s v="OfficeMart"/>
        <s v="TechSource"/>
        <s v="PaperHub"/>
        <s v="NetLink"/>
      </sharedItems>
    </cacheField>
    <cacheField name="Unit Cost" numFmtId="0">
      <sharedItems containsSemiMixedTypes="0" containsString="0" containsNumber="1" minValue="13.92" maxValue="898.11"/>
    </cacheField>
    <cacheField name="Quantity In Stock" numFmtId="0">
      <sharedItems containsSemiMixedTypes="0" containsString="0" containsNumber="1" containsInteger="1" minValue="6" maxValue="500"/>
    </cacheField>
    <cacheField name="Reorder Level" numFmtId="0">
      <sharedItems containsSemiMixedTypes="0" containsString="0" containsNumber="1" containsInteger="1" minValue="6" maxValue="100"/>
    </cacheField>
    <cacheField name="Location" numFmtId="0">
      <sharedItems count="10">
        <s v="A2"/>
        <s v="A3"/>
        <s v="D1"/>
        <s v="B1"/>
        <s v="B2"/>
        <s v="C2"/>
        <s v="C1"/>
        <s v="A4"/>
        <s v="A1"/>
        <s v="D2"/>
      </sharedItems>
    </cacheField>
    <cacheField name="Last Restocked" numFmtId="164">
      <sharedItems containsSemiMixedTypes="0" containsNonDate="0" containsDate="1" containsString="0" minDate="2025-12-24T00:00:00" maxDate="2026-06-18T00:00:00"/>
    </cacheField>
    <cacheField name="Status" numFmtId="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
  <r>
    <n v="1001"/>
    <x v="0"/>
    <x v="0"/>
    <s v="FU-001"/>
    <x v="0"/>
    <n v="343.4"/>
    <n v="398"/>
    <n v="13"/>
    <x v="0"/>
    <d v="2025-12-27T00:00:00"/>
    <s v="OK"/>
  </r>
  <r>
    <n v="1002"/>
    <x v="1"/>
    <x v="1"/>
    <s v="AC-002"/>
    <x v="1"/>
    <n v="248.78"/>
    <n v="184"/>
    <n v="91"/>
    <x v="1"/>
    <d v="2026-03-17T00:00:00"/>
    <s v="OK"/>
  </r>
  <r>
    <n v="1003"/>
    <x v="2"/>
    <x v="2"/>
    <s v="EL-003"/>
    <x v="2"/>
    <n v="482.74"/>
    <n v="291"/>
    <n v="37"/>
    <x v="2"/>
    <d v="2025-12-31T00:00:00"/>
    <s v="OK"/>
  </r>
  <r>
    <n v="1004"/>
    <x v="3"/>
    <x v="2"/>
    <s v="EL-004"/>
    <x v="3"/>
    <n v="735.38"/>
    <n v="325"/>
    <n v="43"/>
    <x v="3"/>
    <d v="2026-04-15T00:00:00"/>
    <s v="OK"/>
  </r>
  <r>
    <n v="1005"/>
    <x v="2"/>
    <x v="2"/>
    <s v="EL-005"/>
    <x v="4"/>
    <n v="140.53"/>
    <n v="387"/>
    <n v="67"/>
    <x v="4"/>
    <d v="2026-03-31T00:00:00"/>
    <s v="OK"/>
  </r>
  <r>
    <n v="1006"/>
    <x v="4"/>
    <x v="2"/>
    <s v="EL-006"/>
    <x v="0"/>
    <n v="426.54"/>
    <n v="350"/>
    <n v="57"/>
    <x v="3"/>
    <d v="2026-03-14T00:00:00"/>
    <s v="OK"/>
  </r>
  <r>
    <n v="1007"/>
    <x v="5"/>
    <x v="1"/>
    <s v="AC-007"/>
    <x v="5"/>
    <n v="666.34"/>
    <n v="305"/>
    <n v="17"/>
    <x v="4"/>
    <d v="2026-03-20T00:00:00"/>
    <s v="OK"/>
  </r>
  <r>
    <n v="1008"/>
    <x v="0"/>
    <x v="0"/>
    <s v="FU-008"/>
    <x v="5"/>
    <n v="92.82"/>
    <n v="470"/>
    <n v="28"/>
    <x v="5"/>
    <d v="2026-01-13T00:00:00"/>
    <s v="OK"/>
  </r>
  <r>
    <n v="1009"/>
    <x v="6"/>
    <x v="0"/>
    <s v="FU-009"/>
    <x v="3"/>
    <n v="413.05"/>
    <n v="229"/>
    <n v="18"/>
    <x v="2"/>
    <d v="2026-03-08T00:00:00"/>
    <s v="OK"/>
  </r>
  <r>
    <n v="1010"/>
    <x v="0"/>
    <x v="0"/>
    <s v="FU-010"/>
    <x v="1"/>
    <n v="386.08"/>
    <n v="497"/>
    <n v="84"/>
    <x v="6"/>
    <d v="2026-06-10T00:00:00"/>
    <s v="OK"/>
  </r>
  <r>
    <n v="1011"/>
    <x v="0"/>
    <x v="0"/>
    <s v="FU-011"/>
    <x v="4"/>
    <n v="380.27"/>
    <n v="428"/>
    <n v="76"/>
    <x v="7"/>
    <d v="2026-03-04T00:00:00"/>
    <s v="OK"/>
  </r>
  <r>
    <n v="1012"/>
    <x v="7"/>
    <x v="2"/>
    <s v="EL-012"/>
    <x v="2"/>
    <n v="314.2"/>
    <n v="309"/>
    <n v="93"/>
    <x v="5"/>
    <d v="2026-01-10T00:00:00"/>
    <s v="OK"/>
  </r>
  <r>
    <n v="1013"/>
    <x v="1"/>
    <x v="1"/>
    <s v="AC-013"/>
    <x v="0"/>
    <n v="79.39"/>
    <n v="70"/>
    <n v="41"/>
    <x v="8"/>
    <d v="2026-05-14T00:00:00"/>
    <s v="OK"/>
  </r>
  <r>
    <n v="1014"/>
    <x v="8"/>
    <x v="3"/>
    <s v="ST-014"/>
    <x v="2"/>
    <n v="198.25"/>
    <n v="488"/>
    <n v="88"/>
    <x v="2"/>
    <d v="2026-05-23T00:00:00"/>
    <s v="OK"/>
  </r>
  <r>
    <n v="1015"/>
    <x v="6"/>
    <x v="0"/>
    <s v="FU-015"/>
    <x v="4"/>
    <n v="204.7"/>
    <n v="436"/>
    <n v="32"/>
    <x v="8"/>
    <d v="2026-01-13T00:00:00"/>
    <s v="OK"/>
  </r>
  <r>
    <n v="1016"/>
    <x v="8"/>
    <x v="3"/>
    <s v="ST-016"/>
    <x v="1"/>
    <n v="226.37"/>
    <n v="37"/>
    <n v="86"/>
    <x v="8"/>
    <d v="2026-04-24T00:00:00"/>
    <s v="Low Stock"/>
  </r>
  <r>
    <n v="1017"/>
    <x v="9"/>
    <x v="2"/>
    <s v="EL-017"/>
    <x v="5"/>
    <n v="490.26"/>
    <n v="108"/>
    <n v="25"/>
    <x v="2"/>
    <d v="2026-02-11T00:00:00"/>
    <s v="OK"/>
  </r>
  <r>
    <n v="1018"/>
    <x v="10"/>
    <x v="0"/>
    <s v="FU-018"/>
    <x v="4"/>
    <n v="799.77"/>
    <n v="469"/>
    <n v="82"/>
    <x v="7"/>
    <d v="2025-12-30T00:00:00"/>
    <s v="OK"/>
  </r>
  <r>
    <n v="1019"/>
    <x v="3"/>
    <x v="2"/>
    <s v="EL-019"/>
    <x v="1"/>
    <n v="695.32"/>
    <n v="64"/>
    <n v="37"/>
    <x v="1"/>
    <d v="2026-05-16T00:00:00"/>
    <s v="OK"/>
  </r>
  <r>
    <n v="1020"/>
    <x v="2"/>
    <x v="2"/>
    <s v="EL-020"/>
    <x v="0"/>
    <n v="430.81"/>
    <n v="154"/>
    <n v="45"/>
    <x v="2"/>
    <d v="2026-05-18T00:00:00"/>
    <s v="OK"/>
  </r>
  <r>
    <n v="1021"/>
    <x v="11"/>
    <x v="1"/>
    <s v="AC-021"/>
    <x v="4"/>
    <n v="766.59"/>
    <n v="118"/>
    <n v="65"/>
    <x v="9"/>
    <d v="2026-02-22T00:00:00"/>
    <s v="OK"/>
  </r>
  <r>
    <n v="1022"/>
    <x v="7"/>
    <x v="2"/>
    <s v="EL-022"/>
    <x v="5"/>
    <n v="471.62"/>
    <n v="155"/>
    <n v="33"/>
    <x v="0"/>
    <d v="2026-02-22T00:00:00"/>
    <s v="OK"/>
  </r>
  <r>
    <n v="1023"/>
    <x v="12"/>
    <x v="3"/>
    <s v="ST-023"/>
    <x v="1"/>
    <n v="793.64"/>
    <n v="310"/>
    <n v="18"/>
    <x v="8"/>
    <d v="2026-04-02T00:00:00"/>
    <s v="OK"/>
  </r>
  <r>
    <n v="1024"/>
    <x v="12"/>
    <x v="3"/>
    <s v="ST-024"/>
    <x v="3"/>
    <n v="734"/>
    <n v="500"/>
    <n v="16"/>
    <x v="5"/>
    <d v="2026-03-26T00:00:00"/>
    <s v="OK"/>
  </r>
  <r>
    <n v="1025"/>
    <x v="13"/>
    <x v="3"/>
    <s v="ST-025"/>
    <x v="4"/>
    <n v="537.53"/>
    <n v="15"/>
    <n v="69"/>
    <x v="0"/>
    <d v="2026-02-10T00:00:00"/>
    <s v="Low Stock"/>
  </r>
  <r>
    <n v="1026"/>
    <x v="3"/>
    <x v="2"/>
    <s v="EL-026"/>
    <x v="4"/>
    <n v="803.76"/>
    <n v="286"/>
    <n v="97"/>
    <x v="9"/>
    <d v="2026-05-15T00:00:00"/>
    <s v="OK"/>
  </r>
  <r>
    <n v="1027"/>
    <x v="2"/>
    <x v="2"/>
    <s v="EL-027"/>
    <x v="2"/>
    <n v="758.63"/>
    <n v="457"/>
    <n v="52"/>
    <x v="5"/>
    <d v="2026-06-13T00:00:00"/>
    <s v="OK"/>
  </r>
  <r>
    <n v="1028"/>
    <x v="4"/>
    <x v="2"/>
    <s v="EL-028"/>
    <x v="1"/>
    <n v="715.5"/>
    <n v="90"/>
    <n v="99"/>
    <x v="2"/>
    <d v="2026-06-16T00:00:00"/>
    <s v="Low Stock"/>
  </r>
  <r>
    <n v="1029"/>
    <x v="11"/>
    <x v="1"/>
    <s v="AC-029"/>
    <x v="4"/>
    <n v="300.12"/>
    <n v="121"/>
    <n v="28"/>
    <x v="5"/>
    <d v="2026-04-22T00:00:00"/>
    <s v="OK"/>
  </r>
  <r>
    <n v="1030"/>
    <x v="12"/>
    <x v="3"/>
    <s v="ST-030"/>
    <x v="1"/>
    <n v="857.76"/>
    <n v="462"/>
    <n v="21"/>
    <x v="7"/>
    <d v="2026-05-26T00:00:00"/>
    <s v="OK"/>
  </r>
  <r>
    <n v="1031"/>
    <x v="5"/>
    <x v="1"/>
    <s v="AC-031"/>
    <x v="1"/>
    <n v="512.48"/>
    <n v="278"/>
    <n v="17"/>
    <x v="6"/>
    <d v="2026-04-04T00:00:00"/>
    <s v="OK"/>
  </r>
  <r>
    <n v="1032"/>
    <x v="14"/>
    <x v="2"/>
    <s v="EL-032"/>
    <x v="3"/>
    <n v="427.63"/>
    <n v="200"/>
    <n v="30"/>
    <x v="8"/>
    <d v="2026-01-09T00:00:00"/>
    <s v="OK"/>
  </r>
  <r>
    <n v="1033"/>
    <x v="10"/>
    <x v="0"/>
    <s v="FU-033"/>
    <x v="2"/>
    <n v="394.95"/>
    <n v="382"/>
    <n v="32"/>
    <x v="8"/>
    <d v="2026-01-11T00:00:00"/>
    <s v="OK"/>
  </r>
  <r>
    <n v="1034"/>
    <x v="6"/>
    <x v="0"/>
    <s v="FU-034"/>
    <x v="4"/>
    <n v="224.25"/>
    <n v="382"/>
    <n v="16"/>
    <x v="8"/>
    <d v="2026-03-25T00:00:00"/>
    <s v="OK"/>
  </r>
  <r>
    <n v="1035"/>
    <x v="15"/>
    <x v="4"/>
    <s v="NE-035"/>
    <x v="3"/>
    <n v="223.72"/>
    <n v="469"/>
    <n v="27"/>
    <x v="0"/>
    <d v="2026-01-21T00:00:00"/>
    <s v="OK"/>
  </r>
  <r>
    <n v="1036"/>
    <x v="8"/>
    <x v="3"/>
    <s v="ST-036"/>
    <x v="4"/>
    <n v="91.55"/>
    <n v="25"/>
    <n v="6"/>
    <x v="6"/>
    <d v="2026-05-31T00:00:00"/>
    <s v="OK"/>
  </r>
  <r>
    <n v="1037"/>
    <x v="13"/>
    <x v="3"/>
    <s v="ST-037"/>
    <x v="5"/>
    <n v="267.02"/>
    <n v="387"/>
    <n v="80"/>
    <x v="4"/>
    <d v="2026-05-05T00:00:00"/>
    <s v="OK"/>
  </r>
  <r>
    <n v="1038"/>
    <x v="15"/>
    <x v="4"/>
    <s v="NE-038"/>
    <x v="1"/>
    <n v="82.85"/>
    <n v="291"/>
    <n v="68"/>
    <x v="3"/>
    <d v="2026-01-19T00:00:00"/>
    <s v="OK"/>
  </r>
  <r>
    <n v="1039"/>
    <x v="16"/>
    <x v="4"/>
    <s v="NE-039"/>
    <x v="1"/>
    <n v="16.190000000000001"/>
    <n v="324"/>
    <n v="77"/>
    <x v="4"/>
    <d v="2026-05-09T00:00:00"/>
    <s v="OK"/>
  </r>
  <r>
    <n v="1040"/>
    <x v="9"/>
    <x v="2"/>
    <s v="EL-040"/>
    <x v="1"/>
    <n v="409.3"/>
    <n v="64"/>
    <n v="81"/>
    <x v="7"/>
    <d v="2025-12-24T00:00:00"/>
    <s v="Low Stock"/>
  </r>
  <r>
    <n v="1041"/>
    <x v="17"/>
    <x v="2"/>
    <s v="EL-041"/>
    <x v="4"/>
    <n v="628.1"/>
    <n v="289"/>
    <n v="40"/>
    <x v="6"/>
    <d v="2026-02-19T00:00:00"/>
    <s v="OK"/>
  </r>
  <r>
    <n v="1042"/>
    <x v="18"/>
    <x v="3"/>
    <s v="ST-042"/>
    <x v="0"/>
    <n v="183.82"/>
    <n v="184"/>
    <n v="44"/>
    <x v="0"/>
    <d v="2026-04-14T00:00:00"/>
    <s v="OK"/>
  </r>
  <r>
    <n v="1043"/>
    <x v="14"/>
    <x v="2"/>
    <s v="EL-043"/>
    <x v="5"/>
    <n v="462.72"/>
    <n v="183"/>
    <n v="9"/>
    <x v="7"/>
    <d v="2026-02-15T00:00:00"/>
    <s v="OK"/>
  </r>
  <r>
    <n v="1044"/>
    <x v="9"/>
    <x v="2"/>
    <s v="EL-044"/>
    <x v="3"/>
    <n v="891.66"/>
    <n v="165"/>
    <n v="100"/>
    <x v="9"/>
    <d v="2026-04-06T00:00:00"/>
    <s v="OK"/>
  </r>
  <r>
    <n v="1045"/>
    <x v="3"/>
    <x v="2"/>
    <s v="EL-045"/>
    <x v="1"/>
    <n v="878.28"/>
    <n v="356"/>
    <n v="18"/>
    <x v="7"/>
    <d v="2026-02-18T00:00:00"/>
    <s v="OK"/>
  </r>
  <r>
    <n v="1046"/>
    <x v="15"/>
    <x v="4"/>
    <s v="NE-046"/>
    <x v="5"/>
    <n v="738.54"/>
    <n v="422"/>
    <n v="46"/>
    <x v="9"/>
    <d v="2026-04-16T00:00:00"/>
    <s v="OK"/>
  </r>
  <r>
    <n v="1047"/>
    <x v="3"/>
    <x v="2"/>
    <s v="EL-047"/>
    <x v="2"/>
    <n v="818.19"/>
    <n v="236"/>
    <n v="27"/>
    <x v="8"/>
    <d v="2026-03-02T00:00:00"/>
    <s v="OK"/>
  </r>
  <r>
    <n v="1048"/>
    <x v="16"/>
    <x v="4"/>
    <s v="NE-048"/>
    <x v="1"/>
    <n v="125.1"/>
    <n v="256"/>
    <n v="58"/>
    <x v="5"/>
    <d v="2026-06-07T00:00:00"/>
    <s v="OK"/>
  </r>
  <r>
    <n v="1049"/>
    <x v="16"/>
    <x v="4"/>
    <s v="NE-049"/>
    <x v="1"/>
    <n v="21.94"/>
    <n v="282"/>
    <n v="56"/>
    <x v="2"/>
    <d v="2026-03-07T00:00:00"/>
    <s v="OK"/>
  </r>
  <r>
    <n v="1050"/>
    <x v="4"/>
    <x v="2"/>
    <s v="EL-050"/>
    <x v="2"/>
    <n v="301.05"/>
    <n v="59"/>
    <n v="24"/>
    <x v="6"/>
    <d v="2026-01-22T00:00:00"/>
    <s v="OK"/>
  </r>
  <r>
    <n v="1051"/>
    <x v="9"/>
    <x v="2"/>
    <s v="EL-051"/>
    <x v="4"/>
    <n v="792.81"/>
    <n v="294"/>
    <n v="66"/>
    <x v="6"/>
    <d v="2026-01-25T00:00:00"/>
    <s v="OK"/>
  </r>
  <r>
    <n v="1052"/>
    <x v="9"/>
    <x v="2"/>
    <s v="EL-052"/>
    <x v="1"/>
    <n v="538.07000000000005"/>
    <n v="308"/>
    <n v="76"/>
    <x v="2"/>
    <d v="2026-04-13T00:00:00"/>
    <s v="OK"/>
  </r>
  <r>
    <n v="1053"/>
    <x v="19"/>
    <x v="1"/>
    <s v="AC-053"/>
    <x v="5"/>
    <n v="732.04"/>
    <n v="74"/>
    <n v="66"/>
    <x v="2"/>
    <d v="2026-02-27T00:00:00"/>
    <s v="OK"/>
  </r>
  <r>
    <n v="1054"/>
    <x v="19"/>
    <x v="1"/>
    <s v="AC-054"/>
    <x v="3"/>
    <n v="278.83"/>
    <n v="423"/>
    <n v="96"/>
    <x v="7"/>
    <d v="2026-03-17T00:00:00"/>
    <s v="OK"/>
  </r>
  <r>
    <n v="1055"/>
    <x v="9"/>
    <x v="2"/>
    <s v="EL-055"/>
    <x v="5"/>
    <n v="468.12"/>
    <n v="6"/>
    <n v="19"/>
    <x v="8"/>
    <d v="2026-01-18T00:00:00"/>
    <s v="Low Stock"/>
  </r>
  <r>
    <n v="1056"/>
    <x v="7"/>
    <x v="2"/>
    <s v="EL-056"/>
    <x v="0"/>
    <n v="275.47000000000003"/>
    <n v="469"/>
    <n v="33"/>
    <x v="7"/>
    <d v="2026-06-11T00:00:00"/>
    <s v="OK"/>
  </r>
  <r>
    <n v="1057"/>
    <x v="14"/>
    <x v="2"/>
    <s v="EL-057"/>
    <x v="4"/>
    <n v="45.94"/>
    <n v="142"/>
    <n v="37"/>
    <x v="8"/>
    <d v="2026-02-23T00:00:00"/>
    <s v="OK"/>
  </r>
  <r>
    <n v="1058"/>
    <x v="13"/>
    <x v="3"/>
    <s v="ST-058"/>
    <x v="3"/>
    <n v="544.91999999999996"/>
    <n v="259"/>
    <n v="71"/>
    <x v="8"/>
    <d v="2026-05-02T00:00:00"/>
    <s v="OK"/>
  </r>
  <r>
    <n v="1059"/>
    <x v="19"/>
    <x v="1"/>
    <s v="AC-059"/>
    <x v="2"/>
    <n v="514.12"/>
    <n v="185"/>
    <n v="67"/>
    <x v="7"/>
    <d v="2026-01-17T00:00:00"/>
    <s v="OK"/>
  </r>
  <r>
    <n v="1060"/>
    <x v="8"/>
    <x v="3"/>
    <s v="ST-060"/>
    <x v="1"/>
    <n v="522.69000000000005"/>
    <n v="288"/>
    <n v="62"/>
    <x v="2"/>
    <d v="2026-03-14T00:00:00"/>
    <s v="OK"/>
  </r>
  <r>
    <n v="1061"/>
    <x v="4"/>
    <x v="2"/>
    <s v="EL-061"/>
    <x v="0"/>
    <n v="784.47"/>
    <n v="248"/>
    <n v="54"/>
    <x v="2"/>
    <d v="2026-01-21T00:00:00"/>
    <s v="OK"/>
  </r>
  <r>
    <n v="1062"/>
    <x v="17"/>
    <x v="2"/>
    <s v="EL-062"/>
    <x v="3"/>
    <n v="151.41"/>
    <n v="162"/>
    <n v="79"/>
    <x v="4"/>
    <d v="2026-04-01T00:00:00"/>
    <s v="OK"/>
  </r>
  <r>
    <n v="1063"/>
    <x v="19"/>
    <x v="1"/>
    <s v="AC-063"/>
    <x v="4"/>
    <n v="408.96"/>
    <n v="139"/>
    <n v="65"/>
    <x v="3"/>
    <d v="2026-06-17T00:00:00"/>
    <s v="OK"/>
  </r>
  <r>
    <n v="1064"/>
    <x v="1"/>
    <x v="1"/>
    <s v="AC-064"/>
    <x v="0"/>
    <n v="596.85"/>
    <n v="422"/>
    <n v="31"/>
    <x v="7"/>
    <d v="2026-03-30T00:00:00"/>
    <s v="OK"/>
  </r>
  <r>
    <n v="1065"/>
    <x v="18"/>
    <x v="3"/>
    <s v="ST-065"/>
    <x v="2"/>
    <n v="637.48"/>
    <n v="143"/>
    <n v="19"/>
    <x v="6"/>
    <d v="2026-05-28T00:00:00"/>
    <s v="OK"/>
  </r>
  <r>
    <n v="1066"/>
    <x v="8"/>
    <x v="3"/>
    <s v="ST-066"/>
    <x v="0"/>
    <n v="423.61"/>
    <n v="439"/>
    <n v="98"/>
    <x v="9"/>
    <d v="2026-06-12T00:00:00"/>
    <s v="OK"/>
  </r>
  <r>
    <n v="1067"/>
    <x v="4"/>
    <x v="2"/>
    <s v="EL-067"/>
    <x v="2"/>
    <n v="668.48"/>
    <n v="226"/>
    <n v="22"/>
    <x v="2"/>
    <d v="2026-05-06T00:00:00"/>
    <s v="OK"/>
  </r>
  <r>
    <n v="1068"/>
    <x v="17"/>
    <x v="2"/>
    <s v="EL-068"/>
    <x v="3"/>
    <n v="875.19"/>
    <n v="477"/>
    <n v="36"/>
    <x v="5"/>
    <d v="2026-02-08T00:00:00"/>
    <s v="OK"/>
  </r>
  <r>
    <n v="1069"/>
    <x v="9"/>
    <x v="2"/>
    <s v="EL-069"/>
    <x v="2"/>
    <n v="743.61"/>
    <n v="271"/>
    <n v="61"/>
    <x v="5"/>
    <d v="2026-01-15T00:00:00"/>
    <s v="OK"/>
  </r>
  <r>
    <n v="1070"/>
    <x v="8"/>
    <x v="3"/>
    <s v="ST-070"/>
    <x v="3"/>
    <n v="657"/>
    <n v="407"/>
    <n v="74"/>
    <x v="5"/>
    <d v="2026-04-21T00:00:00"/>
    <s v="OK"/>
  </r>
  <r>
    <n v="1071"/>
    <x v="4"/>
    <x v="2"/>
    <s v="EL-071"/>
    <x v="1"/>
    <n v="781.79"/>
    <n v="92"/>
    <n v="50"/>
    <x v="8"/>
    <d v="2026-05-22T00:00:00"/>
    <s v="OK"/>
  </r>
  <r>
    <n v="1072"/>
    <x v="13"/>
    <x v="3"/>
    <s v="ST-072"/>
    <x v="3"/>
    <n v="153.49"/>
    <n v="380"/>
    <n v="59"/>
    <x v="0"/>
    <d v="2026-05-11T00:00:00"/>
    <s v="OK"/>
  </r>
  <r>
    <n v="1073"/>
    <x v="17"/>
    <x v="2"/>
    <s v="EL-073"/>
    <x v="4"/>
    <n v="354.99"/>
    <n v="346"/>
    <n v="90"/>
    <x v="9"/>
    <d v="2026-03-28T00:00:00"/>
    <s v="OK"/>
  </r>
  <r>
    <n v="1074"/>
    <x v="10"/>
    <x v="0"/>
    <s v="FU-074"/>
    <x v="3"/>
    <n v="744.28"/>
    <n v="155"/>
    <n v="25"/>
    <x v="3"/>
    <d v="2026-05-25T00:00:00"/>
    <s v="OK"/>
  </r>
  <r>
    <n v="1075"/>
    <x v="18"/>
    <x v="3"/>
    <s v="ST-075"/>
    <x v="1"/>
    <n v="63.08"/>
    <n v="59"/>
    <n v="40"/>
    <x v="5"/>
    <d v="2026-05-27T00:00:00"/>
    <s v="OK"/>
  </r>
  <r>
    <n v="1076"/>
    <x v="11"/>
    <x v="1"/>
    <s v="AC-076"/>
    <x v="3"/>
    <n v="478.58"/>
    <n v="349"/>
    <n v="21"/>
    <x v="0"/>
    <d v="2026-04-26T00:00:00"/>
    <s v="OK"/>
  </r>
  <r>
    <n v="1077"/>
    <x v="8"/>
    <x v="3"/>
    <s v="ST-077"/>
    <x v="0"/>
    <n v="52.89"/>
    <n v="14"/>
    <n v="10"/>
    <x v="8"/>
    <d v="2026-05-26T00:00:00"/>
    <s v="OK"/>
  </r>
  <r>
    <n v="1078"/>
    <x v="16"/>
    <x v="4"/>
    <s v="NE-078"/>
    <x v="1"/>
    <n v="601.26"/>
    <n v="295"/>
    <n v="73"/>
    <x v="6"/>
    <d v="2026-06-16T00:00:00"/>
    <s v="OK"/>
  </r>
  <r>
    <n v="1079"/>
    <x v="8"/>
    <x v="3"/>
    <s v="ST-079"/>
    <x v="4"/>
    <n v="201.32"/>
    <n v="382"/>
    <n v="88"/>
    <x v="9"/>
    <d v="2026-05-15T00:00:00"/>
    <s v="OK"/>
  </r>
  <r>
    <n v="1080"/>
    <x v="13"/>
    <x v="3"/>
    <s v="ST-080"/>
    <x v="4"/>
    <n v="366.26"/>
    <n v="38"/>
    <n v="7"/>
    <x v="0"/>
    <d v="2026-04-27T00:00:00"/>
    <s v="OK"/>
  </r>
  <r>
    <n v="1081"/>
    <x v="7"/>
    <x v="2"/>
    <s v="EL-081"/>
    <x v="0"/>
    <n v="354.09"/>
    <n v="344"/>
    <n v="72"/>
    <x v="6"/>
    <d v="2026-05-05T00:00:00"/>
    <s v="OK"/>
  </r>
  <r>
    <n v="1082"/>
    <x v="6"/>
    <x v="0"/>
    <s v="FU-082"/>
    <x v="5"/>
    <n v="854.41"/>
    <n v="378"/>
    <n v="89"/>
    <x v="0"/>
    <d v="2026-05-21T00:00:00"/>
    <s v="OK"/>
  </r>
  <r>
    <n v="1083"/>
    <x v="6"/>
    <x v="0"/>
    <s v="FU-083"/>
    <x v="0"/>
    <n v="679.75"/>
    <n v="32"/>
    <n v="65"/>
    <x v="9"/>
    <d v="2026-02-20T00:00:00"/>
    <s v="Low Stock"/>
  </r>
  <r>
    <n v="1084"/>
    <x v="13"/>
    <x v="3"/>
    <s v="ST-084"/>
    <x v="4"/>
    <n v="244"/>
    <n v="314"/>
    <n v="28"/>
    <x v="1"/>
    <d v="2026-02-17T00:00:00"/>
    <s v="OK"/>
  </r>
  <r>
    <n v="1085"/>
    <x v="19"/>
    <x v="1"/>
    <s v="AC-085"/>
    <x v="0"/>
    <n v="382.46"/>
    <n v="376"/>
    <n v="21"/>
    <x v="8"/>
    <d v="2026-06-05T00:00:00"/>
    <s v="OK"/>
  </r>
  <r>
    <n v="1086"/>
    <x v="9"/>
    <x v="2"/>
    <s v="EL-086"/>
    <x v="4"/>
    <n v="375.19"/>
    <n v="91"/>
    <n v="48"/>
    <x v="2"/>
    <d v="2026-02-16T00:00:00"/>
    <s v="OK"/>
  </r>
  <r>
    <n v="1087"/>
    <x v="7"/>
    <x v="2"/>
    <s v="EL-087"/>
    <x v="1"/>
    <n v="214.36"/>
    <n v="439"/>
    <n v="10"/>
    <x v="9"/>
    <d v="2026-06-09T00:00:00"/>
    <s v="OK"/>
  </r>
  <r>
    <n v="1088"/>
    <x v="12"/>
    <x v="3"/>
    <s v="ST-088"/>
    <x v="0"/>
    <n v="13.92"/>
    <n v="145"/>
    <n v="6"/>
    <x v="6"/>
    <d v="2026-02-03T00:00:00"/>
    <s v="OK"/>
  </r>
  <r>
    <n v="1089"/>
    <x v="0"/>
    <x v="0"/>
    <s v="FU-089"/>
    <x v="0"/>
    <n v="355.76"/>
    <n v="471"/>
    <n v="25"/>
    <x v="2"/>
    <d v="2026-03-22T00:00:00"/>
    <s v="OK"/>
  </r>
  <r>
    <n v="1090"/>
    <x v="10"/>
    <x v="0"/>
    <s v="FU-090"/>
    <x v="1"/>
    <n v="305.63"/>
    <n v="244"/>
    <n v="41"/>
    <x v="7"/>
    <d v="2026-05-12T00:00:00"/>
    <s v="OK"/>
  </r>
  <r>
    <n v="1091"/>
    <x v="15"/>
    <x v="4"/>
    <s v="NE-091"/>
    <x v="4"/>
    <n v="467.94"/>
    <n v="65"/>
    <n v="30"/>
    <x v="2"/>
    <d v="2026-05-04T00:00:00"/>
    <s v="OK"/>
  </r>
  <r>
    <n v="1092"/>
    <x v="18"/>
    <x v="3"/>
    <s v="ST-092"/>
    <x v="0"/>
    <n v="725.69"/>
    <n v="142"/>
    <n v="32"/>
    <x v="5"/>
    <d v="2026-01-13T00:00:00"/>
    <s v="OK"/>
  </r>
  <r>
    <n v="1093"/>
    <x v="3"/>
    <x v="2"/>
    <s v="EL-093"/>
    <x v="2"/>
    <n v="148.13"/>
    <n v="146"/>
    <n v="28"/>
    <x v="5"/>
    <d v="2026-05-22T00:00:00"/>
    <s v="OK"/>
  </r>
  <r>
    <n v="1094"/>
    <x v="4"/>
    <x v="2"/>
    <s v="EL-094"/>
    <x v="4"/>
    <n v="455.85"/>
    <n v="175"/>
    <n v="42"/>
    <x v="7"/>
    <d v="2026-04-18T00:00:00"/>
    <s v="OK"/>
  </r>
  <r>
    <n v="1095"/>
    <x v="12"/>
    <x v="3"/>
    <s v="ST-095"/>
    <x v="5"/>
    <n v="101.42"/>
    <n v="405"/>
    <n v="7"/>
    <x v="0"/>
    <d v="2026-04-14T00:00:00"/>
    <s v="OK"/>
  </r>
  <r>
    <n v="1096"/>
    <x v="16"/>
    <x v="4"/>
    <s v="NE-096"/>
    <x v="3"/>
    <n v="817.25"/>
    <n v="189"/>
    <n v="45"/>
    <x v="6"/>
    <d v="2026-05-10T00:00:00"/>
    <s v="OK"/>
  </r>
  <r>
    <n v="1097"/>
    <x v="1"/>
    <x v="1"/>
    <s v="AC-097"/>
    <x v="1"/>
    <n v="132.87"/>
    <n v="470"/>
    <n v="34"/>
    <x v="3"/>
    <d v="2026-02-16T00:00:00"/>
    <s v="OK"/>
  </r>
  <r>
    <n v="1098"/>
    <x v="13"/>
    <x v="3"/>
    <s v="ST-098"/>
    <x v="4"/>
    <n v="472.07"/>
    <n v="204"/>
    <n v="95"/>
    <x v="0"/>
    <d v="2026-05-05T00:00:00"/>
    <s v="OK"/>
  </r>
  <r>
    <n v="1099"/>
    <x v="16"/>
    <x v="4"/>
    <s v="NE-099"/>
    <x v="2"/>
    <n v="392.71"/>
    <n v="175"/>
    <n v="55"/>
    <x v="7"/>
    <d v="2026-04-04T00:00:00"/>
    <s v="OK"/>
  </r>
  <r>
    <n v="1100"/>
    <x v="16"/>
    <x v="4"/>
    <s v="NE-100"/>
    <x v="2"/>
    <n v="898.11"/>
    <n v="43"/>
    <n v="9"/>
    <x v="2"/>
    <d v="2025-12-28T00:00:00"/>
    <s v="OK"/>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20" firstHeaderRow="1" firstDataRow="1" firstDataCol="0"/>
  <pivotFields count="11">
    <pivotField showAll="0"/>
    <pivotField showAll="0"/>
    <pivotField showAll="0">
      <items count="6">
        <item x="1"/>
        <item x="2"/>
        <item x="0"/>
        <item x="4"/>
        <item x="3"/>
        <item t="default"/>
      </items>
    </pivotField>
    <pivotField showAll="0"/>
    <pivotField showAll="0">
      <items count="7">
        <item x="1"/>
        <item x="5"/>
        <item x="2"/>
        <item x="4"/>
        <item x="0"/>
        <item x="3"/>
        <item t="default"/>
      </items>
    </pivotField>
    <pivotField showAll="0"/>
    <pivotField showAll="0"/>
    <pivotField showAll="0"/>
    <pivotField showAll="0"/>
    <pivotField numFmtId="164"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3" name="PivotTable1"/>
  </pivotTables>
  <data>
    <tabular pivotCacheId="1">
      <items count="5">
        <i x="1" s="1"/>
        <i x="2" s="1"/>
        <i x="0" s="1"/>
        <i x="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upplier" sourceName="Supplier">
  <pivotTables>
    <pivotTable tabId="3" name="PivotTable1"/>
  </pivotTables>
  <data>
    <tabular pivotCacheId="1">
      <items count="6">
        <i x="1" s="1"/>
        <i x="5" s="1"/>
        <i x="2" s="1"/>
        <i x="4"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style="SlicerStyleDark1" rowHeight="234950"/>
  <slicer name="Supplier" cache="Slicer_Supplier" caption="Supplier" style="SlicerStyleDark1" rowHeight="234950"/>
</slicers>
</file>

<file path=xl/tables/table1.xml><?xml version="1.0" encoding="utf-8"?>
<table xmlns="http://schemas.openxmlformats.org/spreadsheetml/2006/main" id="1" name="InventoryData" displayName="InventoryData" ref="A1:K101" totalsRowShown="0">
  <autoFilter ref="A1:K101"/>
  <tableColumns count="11">
    <tableColumn id="1" name="Item ID"/>
    <tableColumn id="2" name="Item Name"/>
    <tableColumn id="3" name="Category"/>
    <tableColumn id="4" name="SKU"/>
    <tableColumn id="5" name="Supplier"/>
    <tableColumn id="6" name="Unit Cost"/>
    <tableColumn id="7" name="Quantity In Stock"/>
    <tableColumn id="8" name="Reorder Level"/>
    <tableColumn id="9" name="Location"/>
    <tableColumn id="10" name="Last Restocked" dataDxfId="4"/>
    <tableColumn id="11" name="Status">
      <calculatedColumnFormula>IF(G2&lt;H2, "Low Stock", "OK")</calculatedColumnFormula>
    </tableColumn>
  </tableColumns>
  <tableStyleInfo name="TableStyleMedium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20"/>
  <sheetViews>
    <sheetView topLeftCell="A8" workbookViewId="0">
      <selection activeCell="C9" sqref="C9"/>
    </sheetView>
  </sheetViews>
  <sheetFormatPr defaultRowHeight="14.4" x14ac:dyDescent="0.3"/>
  <sheetData>
    <row r="3" spans="1:3" x14ac:dyDescent="0.3">
      <c r="A3" s="18"/>
      <c r="B3" s="19"/>
      <c r="C3" s="20"/>
    </row>
    <row r="4" spans="1:3" x14ac:dyDescent="0.3">
      <c r="A4" s="21"/>
      <c r="B4" s="22"/>
      <c r="C4" s="23"/>
    </row>
    <row r="5" spans="1:3" x14ac:dyDescent="0.3">
      <c r="A5" s="21"/>
      <c r="B5" s="22"/>
      <c r="C5" s="23"/>
    </row>
    <row r="6" spans="1:3" x14ac:dyDescent="0.3">
      <c r="A6" s="21"/>
      <c r="B6" s="22"/>
      <c r="C6" s="23"/>
    </row>
    <row r="7" spans="1:3" x14ac:dyDescent="0.3">
      <c r="A7" s="21"/>
      <c r="B7" s="22"/>
      <c r="C7" s="23"/>
    </row>
    <row r="8" spans="1:3" x14ac:dyDescent="0.3">
      <c r="A8" s="21"/>
      <c r="B8" s="22"/>
      <c r="C8" s="23"/>
    </row>
    <row r="9" spans="1:3" x14ac:dyDescent="0.3">
      <c r="A9" s="21"/>
      <c r="B9" s="22"/>
      <c r="C9" s="23"/>
    </row>
    <row r="10" spans="1:3" x14ac:dyDescent="0.3">
      <c r="A10" s="21"/>
      <c r="B10" s="22"/>
      <c r="C10" s="23"/>
    </row>
    <row r="11" spans="1:3" x14ac:dyDescent="0.3">
      <c r="A11" s="21"/>
      <c r="B11" s="22"/>
      <c r="C11" s="23"/>
    </row>
    <row r="12" spans="1:3" x14ac:dyDescent="0.3">
      <c r="A12" s="21"/>
      <c r="B12" s="22"/>
      <c r="C12" s="23"/>
    </row>
    <row r="13" spans="1:3" x14ac:dyDescent="0.3">
      <c r="A13" s="21"/>
      <c r="B13" s="22"/>
      <c r="C13" s="23"/>
    </row>
    <row r="14" spans="1:3" x14ac:dyDescent="0.3">
      <c r="A14" s="21"/>
      <c r="B14" s="22"/>
      <c r="C14" s="23"/>
    </row>
    <row r="15" spans="1:3" x14ac:dyDescent="0.3">
      <c r="A15" s="21"/>
      <c r="B15" s="22"/>
      <c r="C15" s="23"/>
    </row>
    <row r="16" spans="1:3" x14ac:dyDescent="0.3">
      <c r="A16" s="21"/>
      <c r="B16" s="22"/>
      <c r="C16" s="23"/>
    </row>
    <row r="17" spans="1:3" x14ac:dyDescent="0.3">
      <c r="A17" s="21"/>
      <c r="B17" s="22"/>
      <c r="C17" s="23"/>
    </row>
    <row r="18" spans="1:3" x14ac:dyDescent="0.3">
      <c r="A18" s="21"/>
      <c r="B18" s="22"/>
      <c r="C18" s="23"/>
    </row>
    <row r="19" spans="1:3" x14ac:dyDescent="0.3">
      <c r="A19" s="21"/>
      <c r="B19" s="22"/>
      <c r="C19" s="23"/>
    </row>
    <row r="20" spans="1:3" x14ac:dyDescent="0.3">
      <c r="A20" s="24"/>
      <c r="B20" s="25"/>
      <c r="C20" s="2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1"/>
  <sheetViews>
    <sheetView topLeftCell="A2" workbookViewId="0">
      <selection activeCell="E3" sqref="E3"/>
    </sheetView>
  </sheetViews>
  <sheetFormatPr defaultRowHeight="14.4" x14ac:dyDescent="0.3"/>
  <cols>
    <col min="1" max="1" width="11.21875" customWidth="1"/>
    <col min="2" max="2" width="15.5546875" customWidth="1"/>
    <col min="3" max="3" width="14.44140625" customWidth="1"/>
    <col min="4" max="4" width="13.33203125" customWidth="1"/>
    <col min="5" max="5" width="13.6640625" customWidth="1"/>
    <col min="6" max="6" width="13.21875" customWidth="1"/>
    <col min="7" max="7" width="17.44140625" customWidth="1"/>
    <col min="8" max="8" width="14.33203125" customWidth="1"/>
    <col min="9" max="9" width="10.33203125" customWidth="1"/>
    <col min="10" max="10" width="15.33203125" customWidth="1"/>
    <col min="11" max="11" width="11.5546875" customWidth="1"/>
  </cols>
  <sheetData>
    <row r="1" spans="1:11" x14ac:dyDescent="0.3">
      <c r="A1" t="s">
        <v>0</v>
      </c>
      <c r="B1" t="s">
        <v>1</v>
      </c>
      <c r="C1" t="s">
        <v>2</v>
      </c>
      <c r="D1" t="s">
        <v>3</v>
      </c>
      <c r="E1" t="s">
        <v>4</v>
      </c>
      <c r="F1" t="s">
        <v>5</v>
      </c>
      <c r="G1" t="s">
        <v>6</v>
      </c>
      <c r="H1" t="s">
        <v>7</v>
      </c>
      <c r="I1" t="s">
        <v>8</v>
      </c>
      <c r="J1" t="s">
        <v>9</v>
      </c>
      <c r="K1" t="s">
        <v>10</v>
      </c>
    </row>
    <row r="2" spans="1:11" x14ac:dyDescent="0.3">
      <c r="A2">
        <v>1001</v>
      </c>
      <c r="B2" t="s">
        <v>11</v>
      </c>
      <c r="C2" t="s">
        <v>12</v>
      </c>
      <c r="D2" t="s">
        <v>13</v>
      </c>
      <c r="E2" t="s">
        <v>14</v>
      </c>
      <c r="F2">
        <v>343.4</v>
      </c>
      <c r="G2">
        <v>398</v>
      </c>
      <c r="H2">
        <v>13</v>
      </c>
      <c r="I2" t="s">
        <v>15</v>
      </c>
      <c r="J2" s="1">
        <v>46018</v>
      </c>
      <c r="K2" t="str">
        <f>IF(G2&lt;H2, "Low Stock", "OK")</f>
        <v>OK</v>
      </c>
    </row>
    <row r="3" spans="1:11" x14ac:dyDescent="0.3">
      <c r="A3">
        <v>1002</v>
      </c>
      <c r="B3" t="s">
        <v>16</v>
      </c>
      <c r="C3" t="s">
        <v>17</v>
      </c>
      <c r="D3" t="s">
        <v>18</v>
      </c>
      <c r="E3" t="s">
        <v>19</v>
      </c>
      <c r="F3">
        <v>248.78</v>
      </c>
      <c r="G3">
        <v>184</v>
      </c>
      <c r="H3">
        <v>91</v>
      </c>
      <c r="I3" t="s">
        <v>20</v>
      </c>
      <c r="J3" s="1">
        <v>46098</v>
      </c>
      <c r="K3" t="str">
        <f t="shared" ref="K3:K66" si="0">IF(G3&lt;H3, "Low Stock", "OK")</f>
        <v>OK</v>
      </c>
    </row>
    <row r="4" spans="1:11" x14ac:dyDescent="0.3">
      <c r="A4">
        <v>1003</v>
      </c>
      <c r="B4" t="s">
        <v>21</v>
      </c>
      <c r="C4" t="s">
        <v>22</v>
      </c>
      <c r="D4" t="s">
        <v>23</v>
      </c>
      <c r="E4" t="s">
        <v>24</v>
      </c>
      <c r="F4">
        <v>482.74</v>
      </c>
      <c r="G4">
        <v>291</v>
      </c>
      <c r="H4">
        <v>37</v>
      </c>
      <c r="I4" t="s">
        <v>25</v>
      </c>
      <c r="J4" s="1">
        <v>46022</v>
      </c>
      <c r="K4" t="str">
        <f t="shared" si="0"/>
        <v>OK</v>
      </c>
    </row>
    <row r="5" spans="1:11" x14ac:dyDescent="0.3">
      <c r="A5">
        <v>1004</v>
      </c>
      <c r="B5" t="s">
        <v>26</v>
      </c>
      <c r="C5" t="s">
        <v>22</v>
      </c>
      <c r="D5" t="s">
        <v>27</v>
      </c>
      <c r="E5" t="s">
        <v>28</v>
      </c>
      <c r="F5">
        <v>735.38</v>
      </c>
      <c r="G5">
        <v>325</v>
      </c>
      <c r="H5">
        <v>43</v>
      </c>
      <c r="I5" t="s">
        <v>29</v>
      </c>
      <c r="J5" s="1">
        <v>46127</v>
      </c>
      <c r="K5" t="str">
        <f t="shared" si="0"/>
        <v>OK</v>
      </c>
    </row>
    <row r="6" spans="1:11" x14ac:dyDescent="0.3">
      <c r="A6">
        <v>1005</v>
      </c>
      <c r="B6" t="s">
        <v>21</v>
      </c>
      <c r="C6" t="s">
        <v>22</v>
      </c>
      <c r="D6" t="s">
        <v>30</v>
      </c>
      <c r="E6" t="s">
        <v>31</v>
      </c>
      <c r="F6">
        <v>140.53</v>
      </c>
      <c r="G6">
        <v>387</v>
      </c>
      <c r="H6">
        <v>67</v>
      </c>
      <c r="I6" t="s">
        <v>32</v>
      </c>
      <c r="J6" s="1">
        <v>46112</v>
      </c>
      <c r="K6" t="str">
        <f t="shared" si="0"/>
        <v>OK</v>
      </c>
    </row>
    <row r="7" spans="1:11" x14ac:dyDescent="0.3">
      <c r="A7">
        <v>1006</v>
      </c>
      <c r="B7" t="s">
        <v>33</v>
      </c>
      <c r="C7" t="s">
        <v>22</v>
      </c>
      <c r="D7" t="s">
        <v>34</v>
      </c>
      <c r="E7" t="s">
        <v>14</v>
      </c>
      <c r="F7">
        <v>426.54</v>
      </c>
      <c r="G7">
        <v>350</v>
      </c>
      <c r="H7">
        <v>57</v>
      </c>
      <c r="I7" t="s">
        <v>29</v>
      </c>
      <c r="J7" s="1">
        <v>46095</v>
      </c>
      <c r="K7" t="str">
        <f t="shared" si="0"/>
        <v>OK</v>
      </c>
    </row>
    <row r="8" spans="1:11" x14ac:dyDescent="0.3">
      <c r="A8">
        <v>1007</v>
      </c>
      <c r="B8" t="s">
        <v>35</v>
      </c>
      <c r="C8" t="s">
        <v>17</v>
      </c>
      <c r="D8" t="s">
        <v>36</v>
      </c>
      <c r="E8" t="s">
        <v>37</v>
      </c>
      <c r="F8">
        <v>666.34</v>
      </c>
      <c r="G8">
        <v>305</v>
      </c>
      <c r="H8">
        <v>17</v>
      </c>
      <c r="I8" t="s">
        <v>32</v>
      </c>
      <c r="J8" s="1">
        <v>46101</v>
      </c>
      <c r="K8" t="str">
        <f t="shared" si="0"/>
        <v>OK</v>
      </c>
    </row>
    <row r="9" spans="1:11" x14ac:dyDescent="0.3">
      <c r="A9">
        <v>1008</v>
      </c>
      <c r="B9" t="s">
        <v>11</v>
      </c>
      <c r="C9" t="s">
        <v>12</v>
      </c>
      <c r="D9" t="s">
        <v>38</v>
      </c>
      <c r="E9" t="s">
        <v>37</v>
      </c>
      <c r="F9">
        <v>92.82</v>
      </c>
      <c r="G9">
        <v>470</v>
      </c>
      <c r="H9">
        <v>28</v>
      </c>
      <c r="I9" t="s">
        <v>39</v>
      </c>
      <c r="J9" s="1">
        <v>46035</v>
      </c>
      <c r="K9" t="str">
        <f t="shared" si="0"/>
        <v>OK</v>
      </c>
    </row>
    <row r="10" spans="1:11" x14ac:dyDescent="0.3">
      <c r="A10">
        <v>1009</v>
      </c>
      <c r="B10" t="s">
        <v>40</v>
      </c>
      <c r="C10" t="s">
        <v>12</v>
      </c>
      <c r="D10" t="s">
        <v>41</v>
      </c>
      <c r="E10" t="s">
        <v>28</v>
      </c>
      <c r="F10">
        <v>413.05</v>
      </c>
      <c r="G10">
        <v>229</v>
      </c>
      <c r="H10">
        <v>18</v>
      </c>
      <c r="I10" t="s">
        <v>25</v>
      </c>
      <c r="J10" s="1">
        <v>46089</v>
      </c>
      <c r="K10" t="str">
        <f t="shared" si="0"/>
        <v>OK</v>
      </c>
    </row>
    <row r="11" spans="1:11" x14ac:dyDescent="0.3">
      <c r="A11">
        <v>1010</v>
      </c>
      <c r="B11" t="s">
        <v>11</v>
      </c>
      <c r="C11" t="s">
        <v>12</v>
      </c>
      <c r="D11" t="s">
        <v>42</v>
      </c>
      <c r="E11" t="s">
        <v>19</v>
      </c>
      <c r="F11">
        <v>386.08</v>
      </c>
      <c r="G11">
        <v>497</v>
      </c>
      <c r="H11">
        <v>84</v>
      </c>
      <c r="I11" t="s">
        <v>43</v>
      </c>
      <c r="J11" s="1">
        <v>46183</v>
      </c>
      <c r="K11" t="str">
        <f t="shared" si="0"/>
        <v>OK</v>
      </c>
    </row>
    <row r="12" spans="1:11" x14ac:dyDescent="0.3">
      <c r="A12">
        <v>1011</v>
      </c>
      <c r="B12" t="s">
        <v>11</v>
      </c>
      <c r="C12" t="s">
        <v>12</v>
      </c>
      <c r="D12" t="s">
        <v>44</v>
      </c>
      <c r="E12" t="s">
        <v>31</v>
      </c>
      <c r="F12">
        <v>380.27</v>
      </c>
      <c r="G12">
        <v>428</v>
      </c>
      <c r="H12">
        <v>76</v>
      </c>
      <c r="I12" t="s">
        <v>45</v>
      </c>
      <c r="J12" s="1">
        <v>46085</v>
      </c>
      <c r="K12" t="str">
        <f t="shared" si="0"/>
        <v>OK</v>
      </c>
    </row>
    <row r="13" spans="1:11" x14ac:dyDescent="0.3">
      <c r="A13">
        <v>1012</v>
      </c>
      <c r="B13" t="s">
        <v>46</v>
      </c>
      <c r="C13" t="s">
        <v>22</v>
      </c>
      <c r="D13" t="s">
        <v>47</v>
      </c>
      <c r="E13" t="s">
        <v>24</v>
      </c>
      <c r="F13">
        <v>314.2</v>
      </c>
      <c r="G13">
        <v>309</v>
      </c>
      <c r="H13">
        <v>93</v>
      </c>
      <c r="I13" t="s">
        <v>39</v>
      </c>
      <c r="J13" s="1">
        <v>46032</v>
      </c>
      <c r="K13" t="str">
        <f t="shared" si="0"/>
        <v>OK</v>
      </c>
    </row>
    <row r="14" spans="1:11" x14ac:dyDescent="0.3">
      <c r="A14">
        <v>1013</v>
      </c>
      <c r="B14" t="s">
        <v>16</v>
      </c>
      <c r="C14" t="s">
        <v>17</v>
      </c>
      <c r="D14" t="s">
        <v>48</v>
      </c>
      <c r="E14" t="s">
        <v>14</v>
      </c>
      <c r="F14">
        <v>79.39</v>
      </c>
      <c r="G14">
        <v>70</v>
      </c>
      <c r="H14">
        <v>41</v>
      </c>
      <c r="I14" t="s">
        <v>49</v>
      </c>
      <c r="J14" s="1">
        <v>46156</v>
      </c>
      <c r="K14" t="str">
        <f t="shared" si="0"/>
        <v>OK</v>
      </c>
    </row>
    <row r="15" spans="1:11" x14ac:dyDescent="0.3">
      <c r="A15">
        <v>1014</v>
      </c>
      <c r="B15" t="s">
        <v>50</v>
      </c>
      <c r="C15" t="s">
        <v>51</v>
      </c>
      <c r="D15" t="s">
        <v>52</v>
      </c>
      <c r="E15" t="s">
        <v>24</v>
      </c>
      <c r="F15">
        <v>198.25</v>
      </c>
      <c r="G15">
        <v>488</v>
      </c>
      <c r="H15">
        <v>88</v>
      </c>
      <c r="I15" t="s">
        <v>25</v>
      </c>
      <c r="J15" s="1">
        <v>46165</v>
      </c>
      <c r="K15" t="str">
        <f t="shared" si="0"/>
        <v>OK</v>
      </c>
    </row>
    <row r="16" spans="1:11" x14ac:dyDescent="0.3">
      <c r="A16">
        <v>1015</v>
      </c>
      <c r="B16" t="s">
        <v>40</v>
      </c>
      <c r="C16" t="s">
        <v>12</v>
      </c>
      <c r="D16" t="s">
        <v>53</v>
      </c>
      <c r="E16" t="s">
        <v>31</v>
      </c>
      <c r="F16">
        <v>204.7</v>
      </c>
      <c r="G16">
        <v>436</v>
      </c>
      <c r="H16">
        <v>32</v>
      </c>
      <c r="I16" t="s">
        <v>49</v>
      </c>
      <c r="J16" s="1">
        <v>46035</v>
      </c>
      <c r="K16" t="str">
        <f t="shared" si="0"/>
        <v>OK</v>
      </c>
    </row>
    <row r="17" spans="1:11" x14ac:dyDescent="0.3">
      <c r="A17">
        <v>1016</v>
      </c>
      <c r="B17" t="s">
        <v>50</v>
      </c>
      <c r="C17" t="s">
        <v>51</v>
      </c>
      <c r="D17" t="s">
        <v>54</v>
      </c>
      <c r="E17" t="s">
        <v>19</v>
      </c>
      <c r="F17">
        <v>226.37</v>
      </c>
      <c r="G17">
        <v>37</v>
      </c>
      <c r="H17">
        <v>86</v>
      </c>
      <c r="I17" t="s">
        <v>49</v>
      </c>
      <c r="J17" s="1">
        <v>46136</v>
      </c>
      <c r="K17" t="str">
        <f t="shared" si="0"/>
        <v>Low Stock</v>
      </c>
    </row>
    <row r="18" spans="1:11" x14ac:dyDescent="0.3">
      <c r="A18">
        <v>1017</v>
      </c>
      <c r="B18" t="s">
        <v>55</v>
      </c>
      <c r="C18" t="s">
        <v>22</v>
      </c>
      <c r="D18" t="s">
        <v>56</v>
      </c>
      <c r="E18" t="s">
        <v>37</v>
      </c>
      <c r="F18">
        <v>490.26</v>
      </c>
      <c r="G18">
        <v>108</v>
      </c>
      <c r="H18">
        <v>25</v>
      </c>
      <c r="I18" t="s">
        <v>25</v>
      </c>
      <c r="J18" s="1">
        <v>46064</v>
      </c>
      <c r="K18" t="str">
        <f t="shared" si="0"/>
        <v>OK</v>
      </c>
    </row>
    <row r="19" spans="1:11" x14ac:dyDescent="0.3">
      <c r="A19">
        <v>1018</v>
      </c>
      <c r="B19" t="s">
        <v>57</v>
      </c>
      <c r="C19" t="s">
        <v>12</v>
      </c>
      <c r="D19" t="s">
        <v>58</v>
      </c>
      <c r="E19" t="s">
        <v>31</v>
      </c>
      <c r="F19">
        <v>799.77</v>
      </c>
      <c r="G19">
        <v>469</v>
      </c>
      <c r="H19">
        <v>82</v>
      </c>
      <c r="I19" t="s">
        <v>45</v>
      </c>
      <c r="J19" s="1">
        <v>46021</v>
      </c>
      <c r="K19" t="str">
        <f t="shared" si="0"/>
        <v>OK</v>
      </c>
    </row>
    <row r="20" spans="1:11" x14ac:dyDescent="0.3">
      <c r="A20">
        <v>1019</v>
      </c>
      <c r="B20" t="s">
        <v>26</v>
      </c>
      <c r="C20" t="s">
        <v>22</v>
      </c>
      <c r="D20" t="s">
        <v>59</v>
      </c>
      <c r="E20" t="s">
        <v>19</v>
      </c>
      <c r="F20">
        <v>695.32</v>
      </c>
      <c r="G20">
        <v>64</v>
      </c>
      <c r="H20">
        <v>37</v>
      </c>
      <c r="I20" t="s">
        <v>20</v>
      </c>
      <c r="J20" s="1">
        <v>46158</v>
      </c>
      <c r="K20" t="str">
        <f t="shared" si="0"/>
        <v>OK</v>
      </c>
    </row>
    <row r="21" spans="1:11" x14ac:dyDescent="0.3">
      <c r="A21">
        <v>1020</v>
      </c>
      <c r="B21" t="s">
        <v>21</v>
      </c>
      <c r="C21" t="s">
        <v>22</v>
      </c>
      <c r="D21" t="s">
        <v>60</v>
      </c>
      <c r="E21" t="s">
        <v>14</v>
      </c>
      <c r="F21">
        <v>430.81</v>
      </c>
      <c r="G21">
        <v>154</v>
      </c>
      <c r="H21">
        <v>45</v>
      </c>
      <c r="I21" t="s">
        <v>25</v>
      </c>
      <c r="J21" s="1">
        <v>46160</v>
      </c>
      <c r="K21" t="str">
        <f t="shared" si="0"/>
        <v>OK</v>
      </c>
    </row>
    <row r="22" spans="1:11" x14ac:dyDescent="0.3">
      <c r="A22">
        <v>1021</v>
      </c>
      <c r="B22" t="s">
        <v>61</v>
      </c>
      <c r="C22" t="s">
        <v>17</v>
      </c>
      <c r="D22" t="s">
        <v>62</v>
      </c>
      <c r="E22" t="s">
        <v>31</v>
      </c>
      <c r="F22">
        <v>766.59</v>
      </c>
      <c r="G22">
        <v>118</v>
      </c>
      <c r="H22">
        <v>65</v>
      </c>
      <c r="I22" t="s">
        <v>63</v>
      </c>
      <c r="J22" s="1">
        <v>46075</v>
      </c>
      <c r="K22" t="str">
        <f t="shared" si="0"/>
        <v>OK</v>
      </c>
    </row>
    <row r="23" spans="1:11" x14ac:dyDescent="0.3">
      <c r="A23">
        <v>1022</v>
      </c>
      <c r="B23" t="s">
        <v>46</v>
      </c>
      <c r="C23" t="s">
        <v>22</v>
      </c>
      <c r="D23" t="s">
        <v>64</v>
      </c>
      <c r="E23" t="s">
        <v>37</v>
      </c>
      <c r="F23">
        <v>471.62</v>
      </c>
      <c r="G23">
        <v>155</v>
      </c>
      <c r="H23">
        <v>33</v>
      </c>
      <c r="I23" t="s">
        <v>15</v>
      </c>
      <c r="J23" s="1">
        <v>46075</v>
      </c>
      <c r="K23" t="str">
        <f t="shared" si="0"/>
        <v>OK</v>
      </c>
    </row>
    <row r="24" spans="1:11" x14ac:dyDescent="0.3">
      <c r="A24">
        <v>1023</v>
      </c>
      <c r="B24" t="s">
        <v>65</v>
      </c>
      <c r="C24" t="s">
        <v>51</v>
      </c>
      <c r="D24" t="s">
        <v>66</v>
      </c>
      <c r="E24" t="s">
        <v>19</v>
      </c>
      <c r="F24">
        <v>793.64</v>
      </c>
      <c r="G24">
        <v>310</v>
      </c>
      <c r="H24">
        <v>18</v>
      </c>
      <c r="I24" t="s">
        <v>49</v>
      </c>
      <c r="J24" s="1">
        <v>46114</v>
      </c>
      <c r="K24" t="str">
        <f t="shared" si="0"/>
        <v>OK</v>
      </c>
    </row>
    <row r="25" spans="1:11" x14ac:dyDescent="0.3">
      <c r="A25">
        <v>1024</v>
      </c>
      <c r="B25" t="s">
        <v>65</v>
      </c>
      <c r="C25" t="s">
        <v>51</v>
      </c>
      <c r="D25" t="s">
        <v>67</v>
      </c>
      <c r="E25" t="s">
        <v>28</v>
      </c>
      <c r="F25">
        <v>734</v>
      </c>
      <c r="G25">
        <v>500</v>
      </c>
      <c r="H25">
        <v>16</v>
      </c>
      <c r="I25" t="s">
        <v>39</v>
      </c>
      <c r="J25" s="1">
        <v>46107</v>
      </c>
      <c r="K25" t="str">
        <f t="shared" si="0"/>
        <v>OK</v>
      </c>
    </row>
    <row r="26" spans="1:11" x14ac:dyDescent="0.3">
      <c r="A26">
        <v>1025</v>
      </c>
      <c r="B26" t="s">
        <v>68</v>
      </c>
      <c r="C26" t="s">
        <v>51</v>
      </c>
      <c r="D26" t="s">
        <v>69</v>
      </c>
      <c r="E26" t="s">
        <v>31</v>
      </c>
      <c r="F26">
        <v>537.53</v>
      </c>
      <c r="G26">
        <v>15</v>
      </c>
      <c r="H26">
        <v>69</v>
      </c>
      <c r="I26" t="s">
        <v>15</v>
      </c>
      <c r="J26" s="1">
        <v>46063</v>
      </c>
      <c r="K26" t="str">
        <f t="shared" si="0"/>
        <v>Low Stock</v>
      </c>
    </row>
    <row r="27" spans="1:11" x14ac:dyDescent="0.3">
      <c r="A27">
        <v>1026</v>
      </c>
      <c r="B27" t="s">
        <v>26</v>
      </c>
      <c r="C27" t="s">
        <v>22</v>
      </c>
      <c r="D27" t="s">
        <v>70</v>
      </c>
      <c r="E27" t="s">
        <v>31</v>
      </c>
      <c r="F27">
        <v>803.76</v>
      </c>
      <c r="G27">
        <v>286</v>
      </c>
      <c r="H27">
        <v>97</v>
      </c>
      <c r="I27" t="s">
        <v>63</v>
      </c>
      <c r="J27" s="1">
        <v>46157</v>
      </c>
      <c r="K27" t="str">
        <f t="shared" si="0"/>
        <v>OK</v>
      </c>
    </row>
    <row r="28" spans="1:11" x14ac:dyDescent="0.3">
      <c r="A28">
        <v>1027</v>
      </c>
      <c r="B28" t="s">
        <v>21</v>
      </c>
      <c r="C28" t="s">
        <v>22</v>
      </c>
      <c r="D28" t="s">
        <v>71</v>
      </c>
      <c r="E28" t="s">
        <v>24</v>
      </c>
      <c r="F28">
        <v>758.63</v>
      </c>
      <c r="G28">
        <v>457</v>
      </c>
      <c r="H28">
        <v>52</v>
      </c>
      <c r="I28" t="s">
        <v>39</v>
      </c>
      <c r="J28" s="1">
        <v>46186</v>
      </c>
      <c r="K28" t="str">
        <f t="shared" si="0"/>
        <v>OK</v>
      </c>
    </row>
    <row r="29" spans="1:11" x14ac:dyDescent="0.3">
      <c r="A29">
        <v>1028</v>
      </c>
      <c r="B29" t="s">
        <v>33</v>
      </c>
      <c r="C29" t="s">
        <v>22</v>
      </c>
      <c r="D29" t="s">
        <v>72</v>
      </c>
      <c r="E29" t="s">
        <v>19</v>
      </c>
      <c r="F29">
        <v>715.5</v>
      </c>
      <c r="G29">
        <v>90</v>
      </c>
      <c r="H29">
        <v>99</v>
      </c>
      <c r="I29" t="s">
        <v>25</v>
      </c>
      <c r="J29" s="1">
        <v>46189</v>
      </c>
      <c r="K29" t="str">
        <f t="shared" si="0"/>
        <v>Low Stock</v>
      </c>
    </row>
    <row r="30" spans="1:11" x14ac:dyDescent="0.3">
      <c r="A30">
        <v>1029</v>
      </c>
      <c r="B30" t="s">
        <v>61</v>
      </c>
      <c r="C30" t="s">
        <v>17</v>
      </c>
      <c r="D30" t="s">
        <v>73</v>
      </c>
      <c r="E30" t="s">
        <v>31</v>
      </c>
      <c r="F30">
        <v>300.12</v>
      </c>
      <c r="G30">
        <v>121</v>
      </c>
      <c r="H30">
        <v>28</v>
      </c>
      <c r="I30" t="s">
        <v>39</v>
      </c>
      <c r="J30" s="1">
        <v>46134</v>
      </c>
      <c r="K30" t="str">
        <f t="shared" si="0"/>
        <v>OK</v>
      </c>
    </row>
    <row r="31" spans="1:11" x14ac:dyDescent="0.3">
      <c r="A31">
        <v>1030</v>
      </c>
      <c r="B31" t="s">
        <v>65</v>
      </c>
      <c r="C31" t="s">
        <v>51</v>
      </c>
      <c r="D31" t="s">
        <v>74</v>
      </c>
      <c r="E31" t="s">
        <v>19</v>
      </c>
      <c r="F31">
        <v>857.76</v>
      </c>
      <c r="G31">
        <v>462</v>
      </c>
      <c r="H31">
        <v>21</v>
      </c>
      <c r="I31" t="s">
        <v>45</v>
      </c>
      <c r="J31" s="1">
        <v>46168</v>
      </c>
      <c r="K31" t="str">
        <f t="shared" si="0"/>
        <v>OK</v>
      </c>
    </row>
    <row r="32" spans="1:11" x14ac:dyDescent="0.3">
      <c r="A32">
        <v>1031</v>
      </c>
      <c r="B32" t="s">
        <v>35</v>
      </c>
      <c r="C32" t="s">
        <v>17</v>
      </c>
      <c r="D32" t="s">
        <v>75</v>
      </c>
      <c r="E32" t="s">
        <v>19</v>
      </c>
      <c r="F32">
        <v>512.48</v>
      </c>
      <c r="G32">
        <v>278</v>
      </c>
      <c r="H32">
        <v>17</v>
      </c>
      <c r="I32" t="s">
        <v>43</v>
      </c>
      <c r="J32" s="1">
        <v>46116</v>
      </c>
      <c r="K32" t="str">
        <f t="shared" si="0"/>
        <v>OK</v>
      </c>
    </row>
    <row r="33" spans="1:11" x14ac:dyDescent="0.3">
      <c r="A33">
        <v>1032</v>
      </c>
      <c r="B33" t="s">
        <v>76</v>
      </c>
      <c r="C33" t="s">
        <v>22</v>
      </c>
      <c r="D33" t="s">
        <v>77</v>
      </c>
      <c r="E33" t="s">
        <v>28</v>
      </c>
      <c r="F33">
        <v>427.63</v>
      </c>
      <c r="G33">
        <v>200</v>
      </c>
      <c r="H33">
        <v>30</v>
      </c>
      <c r="I33" t="s">
        <v>49</v>
      </c>
      <c r="J33" s="1">
        <v>46031</v>
      </c>
      <c r="K33" t="str">
        <f t="shared" si="0"/>
        <v>OK</v>
      </c>
    </row>
    <row r="34" spans="1:11" x14ac:dyDescent="0.3">
      <c r="A34">
        <v>1033</v>
      </c>
      <c r="B34" t="s">
        <v>57</v>
      </c>
      <c r="C34" t="s">
        <v>12</v>
      </c>
      <c r="D34" t="s">
        <v>78</v>
      </c>
      <c r="E34" t="s">
        <v>24</v>
      </c>
      <c r="F34">
        <v>394.95</v>
      </c>
      <c r="G34">
        <v>382</v>
      </c>
      <c r="H34">
        <v>32</v>
      </c>
      <c r="I34" t="s">
        <v>49</v>
      </c>
      <c r="J34" s="1">
        <v>46033</v>
      </c>
      <c r="K34" t="str">
        <f t="shared" si="0"/>
        <v>OK</v>
      </c>
    </row>
    <row r="35" spans="1:11" x14ac:dyDescent="0.3">
      <c r="A35">
        <v>1034</v>
      </c>
      <c r="B35" t="s">
        <v>40</v>
      </c>
      <c r="C35" t="s">
        <v>12</v>
      </c>
      <c r="D35" t="s">
        <v>79</v>
      </c>
      <c r="E35" t="s">
        <v>31</v>
      </c>
      <c r="F35">
        <v>224.25</v>
      </c>
      <c r="G35">
        <v>382</v>
      </c>
      <c r="H35">
        <v>16</v>
      </c>
      <c r="I35" t="s">
        <v>49</v>
      </c>
      <c r="J35" s="1">
        <v>46106</v>
      </c>
      <c r="K35" t="str">
        <f t="shared" si="0"/>
        <v>OK</v>
      </c>
    </row>
    <row r="36" spans="1:11" x14ac:dyDescent="0.3">
      <c r="A36">
        <v>1035</v>
      </c>
      <c r="B36" t="s">
        <v>80</v>
      </c>
      <c r="C36" t="s">
        <v>81</v>
      </c>
      <c r="D36" t="s">
        <v>82</v>
      </c>
      <c r="E36" t="s">
        <v>28</v>
      </c>
      <c r="F36">
        <v>223.72</v>
      </c>
      <c r="G36">
        <v>469</v>
      </c>
      <c r="H36">
        <v>27</v>
      </c>
      <c r="I36" t="s">
        <v>15</v>
      </c>
      <c r="J36" s="1">
        <v>46043</v>
      </c>
      <c r="K36" t="str">
        <f t="shared" si="0"/>
        <v>OK</v>
      </c>
    </row>
    <row r="37" spans="1:11" x14ac:dyDescent="0.3">
      <c r="A37">
        <v>1036</v>
      </c>
      <c r="B37" t="s">
        <v>50</v>
      </c>
      <c r="C37" t="s">
        <v>51</v>
      </c>
      <c r="D37" t="s">
        <v>83</v>
      </c>
      <c r="E37" t="s">
        <v>31</v>
      </c>
      <c r="F37">
        <v>91.55</v>
      </c>
      <c r="G37">
        <v>25</v>
      </c>
      <c r="H37">
        <v>6</v>
      </c>
      <c r="I37" t="s">
        <v>43</v>
      </c>
      <c r="J37" s="1">
        <v>46173</v>
      </c>
      <c r="K37" t="str">
        <f t="shared" si="0"/>
        <v>OK</v>
      </c>
    </row>
    <row r="38" spans="1:11" x14ac:dyDescent="0.3">
      <c r="A38">
        <v>1037</v>
      </c>
      <c r="B38" t="s">
        <v>68</v>
      </c>
      <c r="C38" t="s">
        <v>51</v>
      </c>
      <c r="D38" t="s">
        <v>84</v>
      </c>
      <c r="E38" t="s">
        <v>37</v>
      </c>
      <c r="F38">
        <v>267.02</v>
      </c>
      <c r="G38">
        <v>387</v>
      </c>
      <c r="H38">
        <v>80</v>
      </c>
      <c r="I38" t="s">
        <v>32</v>
      </c>
      <c r="J38" s="1">
        <v>46147</v>
      </c>
      <c r="K38" t="str">
        <f t="shared" si="0"/>
        <v>OK</v>
      </c>
    </row>
    <row r="39" spans="1:11" x14ac:dyDescent="0.3">
      <c r="A39">
        <v>1038</v>
      </c>
      <c r="B39" t="s">
        <v>80</v>
      </c>
      <c r="C39" t="s">
        <v>81</v>
      </c>
      <c r="D39" t="s">
        <v>85</v>
      </c>
      <c r="E39" t="s">
        <v>19</v>
      </c>
      <c r="F39">
        <v>82.85</v>
      </c>
      <c r="G39">
        <v>291</v>
      </c>
      <c r="H39">
        <v>68</v>
      </c>
      <c r="I39" t="s">
        <v>29</v>
      </c>
      <c r="J39" s="1">
        <v>46041</v>
      </c>
      <c r="K39" t="str">
        <f t="shared" si="0"/>
        <v>OK</v>
      </c>
    </row>
    <row r="40" spans="1:11" x14ac:dyDescent="0.3">
      <c r="A40">
        <v>1039</v>
      </c>
      <c r="B40" t="s">
        <v>86</v>
      </c>
      <c r="C40" t="s">
        <v>81</v>
      </c>
      <c r="D40" t="s">
        <v>87</v>
      </c>
      <c r="E40" t="s">
        <v>19</v>
      </c>
      <c r="F40">
        <v>16.190000000000001</v>
      </c>
      <c r="G40">
        <v>324</v>
      </c>
      <c r="H40">
        <v>77</v>
      </c>
      <c r="I40" t="s">
        <v>32</v>
      </c>
      <c r="J40" s="1">
        <v>46151</v>
      </c>
      <c r="K40" t="str">
        <f t="shared" si="0"/>
        <v>OK</v>
      </c>
    </row>
    <row r="41" spans="1:11" x14ac:dyDescent="0.3">
      <c r="A41">
        <v>1040</v>
      </c>
      <c r="B41" t="s">
        <v>55</v>
      </c>
      <c r="C41" t="s">
        <v>22</v>
      </c>
      <c r="D41" t="s">
        <v>88</v>
      </c>
      <c r="E41" t="s">
        <v>19</v>
      </c>
      <c r="F41">
        <v>409.3</v>
      </c>
      <c r="G41">
        <v>64</v>
      </c>
      <c r="H41">
        <v>81</v>
      </c>
      <c r="I41" t="s">
        <v>45</v>
      </c>
      <c r="J41" s="1">
        <v>46015</v>
      </c>
      <c r="K41" t="str">
        <f t="shared" si="0"/>
        <v>Low Stock</v>
      </c>
    </row>
    <row r="42" spans="1:11" x14ac:dyDescent="0.3">
      <c r="A42">
        <v>1041</v>
      </c>
      <c r="B42" t="s">
        <v>89</v>
      </c>
      <c r="C42" t="s">
        <v>22</v>
      </c>
      <c r="D42" t="s">
        <v>90</v>
      </c>
      <c r="E42" t="s">
        <v>31</v>
      </c>
      <c r="F42">
        <v>628.1</v>
      </c>
      <c r="G42">
        <v>289</v>
      </c>
      <c r="H42">
        <v>40</v>
      </c>
      <c r="I42" t="s">
        <v>43</v>
      </c>
      <c r="J42" s="1">
        <v>46072</v>
      </c>
      <c r="K42" t="str">
        <f t="shared" si="0"/>
        <v>OK</v>
      </c>
    </row>
    <row r="43" spans="1:11" x14ac:dyDescent="0.3">
      <c r="A43">
        <v>1042</v>
      </c>
      <c r="B43" t="s">
        <v>91</v>
      </c>
      <c r="C43" t="s">
        <v>51</v>
      </c>
      <c r="D43" t="s">
        <v>92</v>
      </c>
      <c r="E43" t="s">
        <v>14</v>
      </c>
      <c r="F43">
        <v>183.82</v>
      </c>
      <c r="G43">
        <v>184</v>
      </c>
      <c r="H43">
        <v>44</v>
      </c>
      <c r="I43" t="s">
        <v>15</v>
      </c>
      <c r="J43" s="1">
        <v>46126</v>
      </c>
      <c r="K43" t="str">
        <f t="shared" si="0"/>
        <v>OK</v>
      </c>
    </row>
    <row r="44" spans="1:11" x14ac:dyDescent="0.3">
      <c r="A44">
        <v>1043</v>
      </c>
      <c r="B44" t="s">
        <v>76</v>
      </c>
      <c r="C44" t="s">
        <v>22</v>
      </c>
      <c r="D44" t="s">
        <v>93</v>
      </c>
      <c r="E44" t="s">
        <v>37</v>
      </c>
      <c r="F44">
        <v>462.72</v>
      </c>
      <c r="G44">
        <v>183</v>
      </c>
      <c r="H44">
        <v>9</v>
      </c>
      <c r="I44" t="s">
        <v>45</v>
      </c>
      <c r="J44" s="1">
        <v>46068</v>
      </c>
      <c r="K44" t="str">
        <f t="shared" si="0"/>
        <v>OK</v>
      </c>
    </row>
    <row r="45" spans="1:11" x14ac:dyDescent="0.3">
      <c r="A45">
        <v>1044</v>
      </c>
      <c r="B45" t="s">
        <v>55</v>
      </c>
      <c r="C45" t="s">
        <v>22</v>
      </c>
      <c r="D45" t="s">
        <v>94</v>
      </c>
      <c r="E45" t="s">
        <v>28</v>
      </c>
      <c r="F45">
        <v>891.66</v>
      </c>
      <c r="G45">
        <v>165</v>
      </c>
      <c r="H45">
        <v>100</v>
      </c>
      <c r="I45" t="s">
        <v>63</v>
      </c>
      <c r="J45" s="1">
        <v>46118</v>
      </c>
      <c r="K45" t="str">
        <f t="shared" si="0"/>
        <v>OK</v>
      </c>
    </row>
    <row r="46" spans="1:11" x14ac:dyDescent="0.3">
      <c r="A46">
        <v>1045</v>
      </c>
      <c r="B46" t="s">
        <v>26</v>
      </c>
      <c r="C46" t="s">
        <v>22</v>
      </c>
      <c r="D46" t="s">
        <v>95</v>
      </c>
      <c r="E46" t="s">
        <v>19</v>
      </c>
      <c r="F46">
        <v>878.28</v>
      </c>
      <c r="G46">
        <v>356</v>
      </c>
      <c r="H46">
        <v>18</v>
      </c>
      <c r="I46" t="s">
        <v>45</v>
      </c>
      <c r="J46" s="1">
        <v>46071</v>
      </c>
      <c r="K46" t="str">
        <f t="shared" si="0"/>
        <v>OK</v>
      </c>
    </row>
    <row r="47" spans="1:11" x14ac:dyDescent="0.3">
      <c r="A47">
        <v>1046</v>
      </c>
      <c r="B47" t="s">
        <v>80</v>
      </c>
      <c r="C47" t="s">
        <v>81</v>
      </c>
      <c r="D47" t="s">
        <v>96</v>
      </c>
      <c r="E47" t="s">
        <v>37</v>
      </c>
      <c r="F47">
        <v>738.54</v>
      </c>
      <c r="G47">
        <v>422</v>
      </c>
      <c r="H47">
        <v>46</v>
      </c>
      <c r="I47" t="s">
        <v>63</v>
      </c>
      <c r="J47" s="1">
        <v>46128</v>
      </c>
      <c r="K47" t="str">
        <f t="shared" si="0"/>
        <v>OK</v>
      </c>
    </row>
    <row r="48" spans="1:11" x14ac:dyDescent="0.3">
      <c r="A48">
        <v>1047</v>
      </c>
      <c r="B48" t="s">
        <v>26</v>
      </c>
      <c r="C48" t="s">
        <v>22</v>
      </c>
      <c r="D48" t="s">
        <v>97</v>
      </c>
      <c r="E48" t="s">
        <v>24</v>
      </c>
      <c r="F48">
        <v>818.19</v>
      </c>
      <c r="G48">
        <v>236</v>
      </c>
      <c r="H48">
        <v>27</v>
      </c>
      <c r="I48" t="s">
        <v>49</v>
      </c>
      <c r="J48" s="1">
        <v>46083</v>
      </c>
      <c r="K48" t="str">
        <f t="shared" si="0"/>
        <v>OK</v>
      </c>
    </row>
    <row r="49" spans="1:11" x14ac:dyDescent="0.3">
      <c r="A49">
        <v>1048</v>
      </c>
      <c r="B49" t="s">
        <v>86</v>
      </c>
      <c r="C49" t="s">
        <v>81</v>
      </c>
      <c r="D49" t="s">
        <v>98</v>
      </c>
      <c r="E49" t="s">
        <v>19</v>
      </c>
      <c r="F49">
        <v>125.1</v>
      </c>
      <c r="G49">
        <v>256</v>
      </c>
      <c r="H49">
        <v>58</v>
      </c>
      <c r="I49" t="s">
        <v>39</v>
      </c>
      <c r="J49" s="1">
        <v>46180</v>
      </c>
      <c r="K49" t="str">
        <f t="shared" si="0"/>
        <v>OK</v>
      </c>
    </row>
    <row r="50" spans="1:11" x14ac:dyDescent="0.3">
      <c r="A50">
        <v>1049</v>
      </c>
      <c r="B50" t="s">
        <v>86</v>
      </c>
      <c r="C50" t="s">
        <v>81</v>
      </c>
      <c r="D50" t="s">
        <v>99</v>
      </c>
      <c r="E50" t="s">
        <v>19</v>
      </c>
      <c r="F50">
        <v>21.94</v>
      </c>
      <c r="G50">
        <v>282</v>
      </c>
      <c r="H50">
        <v>56</v>
      </c>
      <c r="I50" t="s">
        <v>25</v>
      </c>
      <c r="J50" s="1">
        <v>46088</v>
      </c>
      <c r="K50" t="str">
        <f t="shared" si="0"/>
        <v>OK</v>
      </c>
    </row>
    <row r="51" spans="1:11" x14ac:dyDescent="0.3">
      <c r="A51">
        <v>1050</v>
      </c>
      <c r="B51" t="s">
        <v>33</v>
      </c>
      <c r="C51" t="s">
        <v>22</v>
      </c>
      <c r="D51" t="s">
        <v>100</v>
      </c>
      <c r="E51" t="s">
        <v>24</v>
      </c>
      <c r="F51">
        <v>301.05</v>
      </c>
      <c r="G51">
        <v>59</v>
      </c>
      <c r="H51">
        <v>24</v>
      </c>
      <c r="I51" t="s">
        <v>43</v>
      </c>
      <c r="J51" s="1">
        <v>46044</v>
      </c>
      <c r="K51" t="str">
        <f t="shared" si="0"/>
        <v>OK</v>
      </c>
    </row>
    <row r="52" spans="1:11" x14ac:dyDescent="0.3">
      <c r="A52">
        <v>1051</v>
      </c>
      <c r="B52" t="s">
        <v>55</v>
      </c>
      <c r="C52" t="s">
        <v>22</v>
      </c>
      <c r="D52" t="s">
        <v>101</v>
      </c>
      <c r="E52" t="s">
        <v>31</v>
      </c>
      <c r="F52">
        <v>792.81</v>
      </c>
      <c r="G52">
        <v>294</v>
      </c>
      <c r="H52">
        <v>66</v>
      </c>
      <c r="I52" t="s">
        <v>43</v>
      </c>
      <c r="J52" s="1">
        <v>46047</v>
      </c>
      <c r="K52" t="str">
        <f t="shared" si="0"/>
        <v>OK</v>
      </c>
    </row>
    <row r="53" spans="1:11" x14ac:dyDescent="0.3">
      <c r="A53">
        <v>1052</v>
      </c>
      <c r="B53" t="s">
        <v>55</v>
      </c>
      <c r="C53" t="s">
        <v>22</v>
      </c>
      <c r="D53" t="s">
        <v>102</v>
      </c>
      <c r="E53" t="s">
        <v>19</v>
      </c>
      <c r="F53">
        <v>538.07000000000005</v>
      </c>
      <c r="G53">
        <v>308</v>
      </c>
      <c r="H53">
        <v>76</v>
      </c>
      <c r="I53" t="s">
        <v>25</v>
      </c>
      <c r="J53" s="1">
        <v>46125</v>
      </c>
      <c r="K53" t="str">
        <f t="shared" si="0"/>
        <v>OK</v>
      </c>
    </row>
    <row r="54" spans="1:11" x14ac:dyDescent="0.3">
      <c r="A54">
        <v>1053</v>
      </c>
      <c r="B54" t="s">
        <v>103</v>
      </c>
      <c r="C54" t="s">
        <v>17</v>
      </c>
      <c r="D54" t="s">
        <v>104</v>
      </c>
      <c r="E54" t="s">
        <v>37</v>
      </c>
      <c r="F54">
        <v>732.04</v>
      </c>
      <c r="G54">
        <v>74</v>
      </c>
      <c r="H54">
        <v>66</v>
      </c>
      <c r="I54" t="s">
        <v>25</v>
      </c>
      <c r="J54" s="1">
        <v>46080</v>
      </c>
      <c r="K54" t="str">
        <f t="shared" si="0"/>
        <v>OK</v>
      </c>
    </row>
    <row r="55" spans="1:11" x14ac:dyDescent="0.3">
      <c r="A55">
        <v>1054</v>
      </c>
      <c r="B55" t="s">
        <v>103</v>
      </c>
      <c r="C55" t="s">
        <v>17</v>
      </c>
      <c r="D55" t="s">
        <v>105</v>
      </c>
      <c r="E55" t="s">
        <v>28</v>
      </c>
      <c r="F55">
        <v>278.83</v>
      </c>
      <c r="G55">
        <v>423</v>
      </c>
      <c r="H55">
        <v>96</v>
      </c>
      <c r="I55" t="s">
        <v>45</v>
      </c>
      <c r="J55" s="1">
        <v>46098</v>
      </c>
      <c r="K55" t="str">
        <f t="shared" si="0"/>
        <v>OK</v>
      </c>
    </row>
    <row r="56" spans="1:11" x14ac:dyDescent="0.3">
      <c r="A56">
        <v>1055</v>
      </c>
      <c r="B56" t="s">
        <v>55</v>
      </c>
      <c r="C56" t="s">
        <v>22</v>
      </c>
      <c r="D56" t="s">
        <v>106</v>
      </c>
      <c r="E56" t="s">
        <v>37</v>
      </c>
      <c r="F56">
        <v>468.12</v>
      </c>
      <c r="G56">
        <v>6</v>
      </c>
      <c r="H56">
        <v>19</v>
      </c>
      <c r="I56" t="s">
        <v>49</v>
      </c>
      <c r="J56" s="1">
        <v>46040</v>
      </c>
      <c r="K56" t="str">
        <f t="shared" si="0"/>
        <v>Low Stock</v>
      </c>
    </row>
    <row r="57" spans="1:11" x14ac:dyDescent="0.3">
      <c r="A57">
        <v>1056</v>
      </c>
      <c r="B57" t="s">
        <v>46</v>
      </c>
      <c r="C57" t="s">
        <v>22</v>
      </c>
      <c r="D57" t="s">
        <v>107</v>
      </c>
      <c r="E57" t="s">
        <v>14</v>
      </c>
      <c r="F57">
        <v>275.47000000000003</v>
      </c>
      <c r="G57">
        <v>469</v>
      </c>
      <c r="H57">
        <v>33</v>
      </c>
      <c r="I57" t="s">
        <v>45</v>
      </c>
      <c r="J57" s="1">
        <v>46184</v>
      </c>
      <c r="K57" t="str">
        <f t="shared" si="0"/>
        <v>OK</v>
      </c>
    </row>
    <row r="58" spans="1:11" x14ac:dyDescent="0.3">
      <c r="A58">
        <v>1057</v>
      </c>
      <c r="B58" t="s">
        <v>76</v>
      </c>
      <c r="C58" t="s">
        <v>22</v>
      </c>
      <c r="D58" t="s">
        <v>108</v>
      </c>
      <c r="E58" t="s">
        <v>31</v>
      </c>
      <c r="F58">
        <v>45.94</v>
      </c>
      <c r="G58">
        <v>142</v>
      </c>
      <c r="H58">
        <v>37</v>
      </c>
      <c r="I58" t="s">
        <v>49</v>
      </c>
      <c r="J58" s="1">
        <v>46076</v>
      </c>
      <c r="K58" t="str">
        <f t="shared" si="0"/>
        <v>OK</v>
      </c>
    </row>
    <row r="59" spans="1:11" x14ac:dyDescent="0.3">
      <c r="A59">
        <v>1058</v>
      </c>
      <c r="B59" t="s">
        <v>68</v>
      </c>
      <c r="C59" t="s">
        <v>51</v>
      </c>
      <c r="D59" t="s">
        <v>109</v>
      </c>
      <c r="E59" t="s">
        <v>28</v>
      </c>
      <c r="F59">
        <v>544.91999999999996</v>
      </c>
      <c r="G59">
        <v>259</v>
      </c>
      <c r="H59">
        <v>71</v>
      </c>
      <c r="I59" t="s">
        <v>49</v>
      </c>
      <c r="J59" s="1">
        <v>46144</v>
      </c>
      <c r="K59" t="str">
        <f t="shared" si="0"/>
        <v>OK</v>
      </c>
    </row>
    <row r="60" spans="1:11" x14ac:dyDescent="0.3">
      <c r="A60">
        <v>1059</v>
      </c>
      <c r="B60" t="s">
        <v>103</v>
      </c>
      <c r="C60" t="s">
        <v>17</v>
      </c>
      <c r="D60" t="s">
        <v>110</v>
      </c>
      <c r="E60" t="s">
        <v>24</v>
      </c>
      <c r="F60">
        <v>514.12</v>
      </c>
      <c r="G60">
        <v>185</v>
      </c>
      <c r="H60">
        <v>67</v>
      </c>
      <c r="I60" t="s">
        <v>45</v>
      </c>
      <c r="J60" s="1">
        <v>46039</v>
      </c>
      <c r="K60" t="str">
        <f t="shared" si="0"/>
        <v>OK</v>
      </c>
    </row>
    <row r="61" spans="1:11" x14ac:dyDescent="0.3">
      <c r="A61">
        <v>1060</v>
      </c>
      <c r="B61" t="s">
        <v>50</v>
      </c>
      <c r="C61" t="s">
        <v>51</v>
      </c>
      <c r="D61" t="s">
        <v>111</v>
      </c>
      <c r="E61" t="s">
        <v>19</v>
      </c>
      <c r="F61">
        <v>522.69000000000005</v>
      </c>
      <c r="G61">
        <v>288</v>
      </c>
      <c r="H61">
        <v>62</v>
      </c>
      <c r="I61" t="s">
        <v>25</v>
      </c>
      <c r="J61" s="1">
        <v>46095</v>
      </c>
      <c r="K61" t="str">
        <f t="shared" si="0"/>
        <v>OK</v>
      </c>
    </row>
    <row r="62" spans="1:11" x14ac:dyDescent="0.3">
      <c r="A62">
        <v>1061</v>
      </c>
      <c r="B62" t="s">
        <v>33</v>
      </c>
      <c r="C62" t="s">
        <v>22</v>
      </c>
      <c r="D62" t="s">
        <v>112</v>
      </c>
      <c r="E62" t="s">
        <v>14</v>
      </c>
      <c r="F62">
        <v>784.47</v>
      </c>
      <c r="G62">
        <v>248</v>
      </c>
      <c r="H62">
        <v>54</v>
      </c>
      <c r="I62" t="s">
        <v>25</v>
      </c>
      <c r="J62" s="1">
        <v>46043</v>
      </c>
      <c r="K62" t="str">
        <f t="shared" si="0"/>
        <v>OK</v>
      </c>
    </row>
    <row r="63" spans="1:11" x14ac:dyDescent="0.3">
      <c r="A63">
        <v>1062</v>
      </c>
      <c r="B63" t="s">
        <v>89</v>
      </c>
      <c r="C63" t="s">
        <v>22</v>
      </c>
      <c r="D63" t="s">
        <v>113</v>
      </c>
      <c r="E63" t="s">
        <v>28</v>
      </c>
      <c r="F63">
        <v>151.41</v>
      </c>
      <c r="G63">
        <v>162</v>
      </c>
      <c r="H63">
        <v>79</v>
      </c>
      <c r="I63" t="s">
        <v>32</v>
      </c>
      <c r="J63" s="1">
        <v>46113</v>
      </c>
      <c r="K63" t="str">
        <f t="shared" si="0"/>
        <v>OK</v>
      </c>
    </row>
    <row r="64" spans="1:11" x14ac:dyDescent="0.3">
      <c r="A64">
        <v>1063</v>
      </c>
      <c r="B64" t="s">
        <v>103</v>
      </c>
      <c r="C64" t="s">
        <v>17</v>
      </c>
      <c r="D64" t="s">
        <v>114</v>
      </c>
      <c r="E64" t="s">
        <v>31</v>
      </c>
      <c r="F64">
        <v>408.96</v>
      </c>
      <c r="G64">
        <v>139</v>
      </c>
      <c r="H64">
        <v>65</v>
      </c>
      <c r="I64" t="s">
        <v>29</v>
      </c>
      <c r="J64" s="1">
        <v>46190</v>
      </c>
      <c r="K64" t="str">
        <f t="shared" si="0"/>
        <v>OK</v>
      </c>
    </row>
    <row r="65" spans="1:11" x14ac:dyDescent="0.3">
      <c r="A65">
        <v>1064</v>
      </c>
      <c r="B65" t="s">
        <v>16</v>
      </c>
      <c r="C65" t="s">
        <v>17</v>
      </c>
      <c r="D65" t="s">
        <v>115</v>
      </c>
      <c r="E65" t="s">
        <v>14</v>
      </c>
      <c r="F65">
        <v>596.85</v>
      </c>
      <c r="G65">
        <v>422</v>
      </c>
      <c r="H65">
        <v>31</v>
      </c>
      <c r="I65" t="s">
        <v>45</v>
      </c>
      <c r="J65" s="1">
        <v>46111</v>
      </c>
      <c r="K65" t="str">
        <f t="shared" si="0"/>
        <v>OK</v>
      </c>
    </row>
    <row r="66" spans="1:11" x14ac:dyDescent="0.3">
      <c r="A66">
        <v>1065</v>
      </c>
      <c r="B66" t="s">
        <v>91</v>
      </c>
      <c r="C66" t="s">
        <v>51</v>
      </c>
      <c r="D66" t="s">
        <v>116</v>
      </c>
      <c r="E66" t="s">
        <v>24</v>
      </c>
      <c r="F66">
        <v>637.48</v>
      </c>
      <c r="G66">
        <v>143</v>
      </c>
      <c r="H66">
        <v>19</v>
      </c>
      <c r="I66" t="s">
        <v>43</v>
      </c>
      <c r="J66" s="1">
        <v>46170</v>
      </c>
      <c r="K66" t="str">
        <f t="shared" si="0"/>
        <v>OK</v>
      </c>
    </row>
    <row r="67" spans="1:11" x14ac:dyDescent="0.3">
      <c r="A67">
        <v>1066</v>
      </c>
      <c r="B67" t="s">
        <v>50</v>
      </c>
      <c r="C67" t="s">
        <v>51</v>
      </c>
      <c r="D67" t="s">
        <v>117</v>
      </c>
      <c r="E67" t="s">
        <v>14</v>
      </c>
      <c r="F67">
        <v>423.61</v>
      </c>
      <c r="G67">
        <v>439</v>
      </c>
      <c r="H67">
        <v>98</v>
      </c>
      <c r="I67" t="s">
        <v>63</v>
      </c>
      <c r="J67" s="1">
        <v>46185</v>
      </c>
      <c r="K67" t="str">
        <f t="shared" ref="K67:K101" si="1">IF(G67&lt;H67, "Low Stock", "OK")</f>
        <v>OK</v>
      </c>
    </row>
    <row r="68" spans="1:11" x14ac:dyDescent="0.3">
      <c r="A68">
        <v>1067</v>
      </c>
      <c r="B68" t="s">
        <v>33</v>
      </c>
      <c r="C68" t="s">
        <v>22</v>
      </c>
      <c r="D68" t="s">
        <v>118</v>
      </c>
      <c r="E68" t="s">
        <v>24</v>
      </c>
      <c r="F68">
        <v>668.48</v>
      </c>
      <c r="G68">
        <v>226</v>
      </c>
      <c r="H68">
        <v>22</v>
      </c>
      <c r="I68" t="s">
        <v>25</v>
      </c>
      <c r="J68" s="1">
        <v>46148</v>
      </c>
      <c r="K68" t="str">
        <f t="shared" si="1"/>
        <v>OK</v>
      </c>
    </row>
    <row r="69" spans="1:11" x14ac:dyDescent="0.3">
      <c r="A69">
        <v>1068</v>
      </c>
      <c r="B69" t="s">
        <v>89</v>
      </c>
      <c r="C69" t="s">
        <v>22</v>
      </c>
      <c r="D69" t="s">
        <v>119</v>
      </c>
      <c r="E69" t="s">
        <v>28</v>
      </c>
      <c r="F69">
        <v>875.19</v>
      </c>
      <c r="G69">
        <v>477</v>
      </c>
      <c r="H69">
        <v>36</v>
      </c>
      <c r="I69" t="s">
        <v>39</v>
      </c>
      <c r="J69" s="1">
        <v>46061</v>
      </c>
      <c r="K69" t="str">
        <f t="shared" si="1"/>
        <v>OK</v>
      </c>
    </row>
    <row r="70" spans="1:11" x14ac:dyDescent="0.3">
      <c r="A70">
        <v>1069</v>
      </c>
      <c r="B70" t="s">
        <v>55</v>
      </c>
      <c r="C70" t="s">
        <v>22</v>
      </c>
      <c r="D70" t="s">
        <v>120</v>
      </c>
      <c r="E70" t="s">
        <v>24</v>
      </c>
      <c r="F70">
        <v>743.61</v>
      </c>
      <c r="G70">
        <v>271</v>
      </c>
      <c r="H70">
        <v>61</v>
      </c>
      <c r="I70" t="s">
        <v>39</v>
      </c>
      <c r="J70" s="1">
        <v>46037</v>
      </c>
      <c r="K70" t="str">
        <f t="shared" si="1"/>
        <v>OK</v>
      </c>
    </row>
    <row r="71" spans="1:11" x14ac:dyDescent="0.3">
      <c r="A71">
        <v>1070</v>
      </c>
      <c r="B71" t="s">
        <v>50</v>
      </c>
      <c r="C71" t="s">
        <v>51</v>
      </c>
      <c r="D71" t="s">
        <v>121</v>
      </c>
      <c r="E71" t="s">
        <v>28</v>
      </c>
      <c r="F71">
        <v>657</v>
      </c>
      <c r="G71">
        <v>407</v>
      </c>
      <c r="H71">
        <v>74</v>
      </c>
      <c r="I71" t="s">
        <v>39</v>
      </c>
      <c r="J71" s="1">
        <v>46133</v>
      </c>
      <c r="K71" t="str">
        <f t="shared" si="1"/>
        <v>OK</v>
      </c>
    </row>
    <row r="72" spans="1:11" x14ac:dyDescent="0.3">
      <c r="A72">
        <v>1071</v>
      </c>
      <c r="B72" t="s">
        <v>33</v>
      </c>
      <c r="C72" t="s">
        <v>22</v>
      </c>
      <c r="D72" t="s">
        <v>122</v>
      </c>
      <c r="E72" t="s">
        <v>19</v>
      </c>
      <c r="F72">
        <v>781.79</v>
      </c>
      <c r="G72">
        <v>92</v>
      </c>
      <c r="H72">
        <v>50</v>
      </c>
      <c r="I72" t="s">
        <v>49</v>
      </c>
      <c r="J72" s="1">
        <v>46164</v>
      </c>
      <c r="K72" t="str">
        <f t="shared" si="1"/>
        <v>OK</v>
      </c>
    </row>
    <row r="73" spans="1:11" x14ac:dyDescent="0.3">
      <c r="A73">
        <v>1072</v>
      </c>
      <c r="B73" t="s">
        <v>68</v>
      </c>
      <c r="C73" t="s">
        <v>51</v>
      </c>
      <c r="D73" t="s">
        <v>123</v>
      </c>
      <c r="E73" t="s">
        <v>28</v>
      </c>
      <c r="F73">
        <v>153.49</v>
      </c>
      <c r="G73">
        <v>380</v>
      </c>
      <c r="H73">
        <v>59</v>
      </c>
      <c r="I73" t="s">
        <v>15</v>
      </c>
      <c r="J73" s="1">
        <v>46153</v>
      </c>
      <c r="K73" t="str">
        <f t="shared" si="1"/>
        <v>OK</v>
      </c>
    </row>
    <row r="74" spans="1:11" x14ac:dyDescent="0.3">
      <c r="A74">
        <v>1073</v>
      </c>
      <c r="B74" t="s">
        <v>89</v>
      </c>
      <c r="C74" t="s">
        <v>22</v>
      </c>
      <c r="D74" t="s">
        <v>124</v>
      </c>
      <c r="E74" t="s">
        <v>31</v>
      </c>
      <c r="F74">
        <v>354.99</v>
      </c>
      <c r="G74">
        <v>346</v>
      </c>
      <c r="H74">
        <v>90</v>
      </c>
      <c r="I74" t="s">
        <v>63</v>
      </c>
      <c r="J74" s="1">
        <v>46109</v>
      </c>
      <c r="K74" t="str">
        <f t="shared" si="1"/>
        <v>OK</v>
      </c>
    </row>
    <row r="75" spans="1:11" x14ac:dyDescent="0.3">
      <c r="A75">
        <v>1074</v>
      </c>
      <c r="B75" t="s">
        <v>57</v>
      </c>
      <c r="C75" t="s">
        <v>12</v>
      </c>
      <c r="D75" t="s">
        <v>125</v>
      </c>
      <c r="E75" t="s">
        <v>28</v>
      </c>
      <c r="F75">
        <v>744.28</v>
      </c>
      <c r="G75">
        <v>155</v>
      </c>
      <c r="H75">
        <v>25</v>
      </c>
      <c r="I75" t="s">
        <v>29</v>
      </c>
      <c r="J75" s="1">
        <v>46167</v>
      </c>
      <c r="K75" t="str">
        <f t="shared" si="1"/>
        <v>OK</v>
      </c>
    </row>
    <row r="76" spans="1:11" x14ac:dyDescent="0.3">
      <c r="A76">
        <v>1075</v>
      </c>
      <c r="B76" t="s">
        <v>91</v>
      </c>
      <c r="C76" t="s">
        <v>51</v>
      </c>
      <c r="D76" t="s">
        <v>126</v>
      </c>
      <c r="E76" t="s">
        <v>19</v>
      </c>
      <c r="F76">
        <v>63.08</v>
      </c>
      <c r="G76">
        <v>59</v>
      </c>
      <c r="H76">
        <v>40</v>
      </c>
      <c r="I76" t="s">
        <v>39</v>
      </c>
      <c r="J76" s="1">
        <v>46169</v>
      </c>
      <c r="K76" t="str">
        <f t="shared" si="1"/>
        <v>OK</v>
      </c>
    </row>
    <row r="77" spans="1:11" x14ac:dyDescent="0.3">
      <c r="A77">
        <v>1076</v>
      </c>
      <c r="B77" t="s">
        <v>61</v>
      </c>
      <c r="C77" t="s">
        <v>17</v>
      </c>
      <c r="D77" t="s">
        <v>127</v>
      </c>
      <c r="E77" t="s">
        <v>28</v>
      </c>
      <c r="F77">
        <v>478.58</v>
      </c>
      <c r="G77">
        <v>349</v>
      </c>
      <c r="H77">
        <v>21</v>
      </c>
      <c r="I77" t="s">
        <v>15</v>
      </c>
      <c r="J77" s="1">
        <v>46138</v>
      </c>
      <c r="K77" t="str">
        <f t="shared" si="1"/>
        <v>OK</v>
      </c>
    </row>
    <row r="78" spans="1:11" x14ac:dyDescent="0.3">
      <c r="A78">
        <v>1077</v>
      </c>
      <c r="B78" t="s">
        <v>50</v>
      </c>
      <c r="C78" t="s">
        <v>51</v>
      </c>
      <c r="D78" t="s">
        <v>128</v>
      </c>
      <c r="E78" t="s">
        <v>14</v>
      </c>
      <c r="F78">
        <v>52.89</v>
      </c>
      <c r="G78">
        <v>14</v>
      </c>
      <c r="H78">
        <v>10</v>
      </c>
      <c r="I78" t="s">
        <v>49</v>
      </c>
      <c r="J78" s="1">
        <v>46168</v>
      </c>
      <c r="K78" t="str">
        <f t="shared" si="1"/>
        <v>OK</v>
      </c>
    </row>
    <row r="79" spans="1:11" x14ac:dyDescent="0.3">
      <c r="A79">
        <v>1078</v>
      </c>
      <c r="B79" t="s">
        <v>86</v>
      </c>
      <c r="C79" t="s">
        <v>81</v>
      </c>
      <c r="D79" t="s">
        <v>129</v>
      </c>
      <c r="E79" t="s">
        <v>19</v>
      </c>
      <c r="F79">
        <v>601.26</v>
      </c>
      <c r="G79">
        <v>295</v>
      </c>
      <c r="H79">
        <v>73</v>
      </c>
      <c r="I79" t="s">
        <v>43</v>
      </c>
      <c r="J79" s="1">
        <v>46189</v>
      </c>
      <c r="K79" t="str">
        <f t="shared" si="1"/>
        <v>OK</v>
      </c>
    </row>
    <row r="80" spans="1:11" x14ac:dyDescent="0.3">
      <c r="A80">
        <v>1079</v>
      </c>
      <c r="B80" t="s">
        <v>50</v>
      </c>
      <c r="C80" t="s">
        <v>51</v>
      </c>
      <c r="D80" t="s">
        <v>130</v>
      </c>
      <c r="E80" t="s">
        <v>31</v>
      </c>
      <c r="F80">
        <v>201.32</v>
      </c>
      <c r="G80">
        <v>382</v>
      </c>
      <c r="H80">
        <v>88</v>
      </c>
      <c r="I80" t="s">
        <v>63</v>
      </c>
      <c r="J80" s="1">
        <v>46157</v>
      </c>
      <c r="K80" t="str">
        <f t="shared" si="1"/>
        <v>OK</v>
      </c>
    </row>
    <row r="81" spans="1:11" x14ac:dyDescent="0.3">
      <c r="A81">
        <v>1080</v>
      </c>
      <c r="B81" t="s">
        <v>68</v>
      </c>
      <c r="C81" t="s">
        <v>51</v>
      </c>
      <c r="D81" t="s">
        <v>131</v>
      </c>
      <c r="E81" t="s">
        <v>31</v>
      </c>
      <c r="F81">
        <v>366.26</v>
      </c>
      <c r="G81">
        <v>38</v>
      </c>
      <c r="H81">
        <v>7</v>
      </c>
      <c r="I81" t="s">
        <v>15</v>
      </c>
      <c r="J81" s="1">
        <v>46139</v>
      </c>
      <c r="K81" t="str">
        <f t="shared" si="1"/>
        <v>OK</v>
      </c>
    </row>
    <row r="82" spans="1:11" x14ac:dyDescent="0.3">
      <c r="A82">
        <v>1081</v>
      </c>
      <c r="B82" t="s">
        <v>46</v>
      </c>
      <c r="C82" t="s">
        <v>22</v>
      </c>
      <c r="D82" t="s">
        <v>132</v>
      </c>
      <c r="E82" t="s">
        <v>14</v>
      </c>
      <c r="F82">
        <v>354.09</v>
      </c>
      <c r="G82">
        <v>344</v>
      </c>
      <c r="H82">
        <v>72</v>
      </c>
      <c r="I82" t="s">
        <v>43</v>
      </c>
      <c r="J82" s="1">
        <v>46147</v>
      </c>
      <c r="K82" t="str">
        <f t="shared" si="1"/>
        <v>OK</v>
      </c>
    </row>
    <row r="83" spans="1:11" x14ac:dyDescent="0.3">
      <c r="A83">
        <v>1082</v>
      </c>
      <c r="B83" t="s">
        <v>40</v>
      </c>
      <c r="C83" t="s">
        <v>12</v>
      </c>
      <c r="D83" t="s">
        <v>133</v>
      </c>
      <c r="E83" t="s">
        <v>37</v>
      </c>
      <c r="F83">
        <v>854.41</v>
      </c>
      <c r="G83">
        <v>378</v>
      </c>
      <c r="H83">
        <v>89</v>
      </c>
      <c r="I83" t="s">
        <v>15</v>
      </c>
      <c r="J83" s="1">
        <v>46163</v>
      </c>
      <c r="K83" t="str">
        <f t="shared" si="1"/>
        <v>OK</v>
      </c>
    </row>
    <row r="84" spans="1:11" x14ac:dyDescent="0.3">
      <c r="A84">
        <v>1083</v>
      </c>
      <c r="B84" t="s">
        <v>40</v>
      </c>
      <c r="C84" t="s">
        <v>12</v>
      </c>
      <c r="D84" t="s">
        <v>134</v>
      </c>
      <c r="E84" t="s">
        <v>14</v>
      </c>
      <c r="F84">
        <v>679.75</v>
      </c>
      <c r="G84">
        <v>32</v>
      </c>
      <c r="H84">
        <v>65</v>
      </c>
      <c r="I84" t="s">
        <v>63</v>
      </c>
      <c r="J84" s="1">
        <v>46073</v>
      </c>
      <c r="K84" t="str">
        <f t="shared" si="1"/>
        <v>Low Stock</v>
      </c>
    </row>
    <row r="85" spans="1:11" x14ac:dyDescent="0.3">
      <c r="A85">
        <v>1084</v>
      </c>
      <c r="B85" t="s">
        <v>68</v>
      </c>
      <c r="C85" t="s">
        <v>51</v>
      </c>
      <c r="D85" t="s">
        <v>135</v>
      </c>
      <c r="E85" t="s">
        <v>31</v>
      </c>
      <c r="F85">
        <v>244</v>
      </c>
      <c r="G85">
        <v>314</v>
      </c>
      <c r="H85">
        <v>28</v>
      </c>
      <c r="I85" t="s">
        <v>20</v>
      </c>
      <c r="J85" s="1">
        <v>46070</v>
      </c>
      <c r="K85" t="str">
        <f t="shared" si="1"/>
        <v>OK</v>
      </c>
    </row>
    <row r="86" spans="1:11" x14ac:dyDescent="0.3">
      <c r="A86">
        <v>1085</v>
      </c>
      <c r="B86" t="s">
        <v>103</v>
      </c>
      <c r="C86" t="s">
        <v>17</v>
      </c>
      <c r="D86" t="s">
        <v>136</v>
      </c>
      <c r="E86" t="s">
        <v>14</v>
      </c>
      <c r="F86">
        <v>382.46</v>
      </c>
      <c r="G86">
        <v>376</v>
      </c>
      <c r="H86">
        <v>21</v>
      </c>
      <c r="I86" t="s">
        <v>49</v>
      </c>
      <c r="J86" s="1">
        <v>46178</v>
      </c>
      <c r="K86" t="str">
        <f t="shared" si="1"/>
        <v>OK</v>
      </c>
    </row>
    <row r="87" spans="1:11" x14ac:dyDescent="0.3">
      <c r="A87">
        <v>1086</v>
      </c>
      <c r="B87" t="s">
        <v>55</v>
      </c>
      <c r="C87" t="s">
        <v>22</v>
      </c>
      <c r="D87" t="s">
        <v>137</v>
      </c>
      <c r="E87" t="s">
        <v>31</v>
      </c>
      <c r="F87">
        <v>375.19</v>
      </c>
      <c r="G87">
        <v>91</v>
      </c>
      <c r="H87">
        <v>48</v>
      </c>
      <c r="I87" t="s">
        <v>25</v>
      </c>
      <c r="J87" s="1">
        <v>46069</v>
      </c>
      <c r="K87" t="str">
        <f t="shared" si="1"/>
        <v>OK</v>
      </c>
    </row>
    <row r="88" spans="1:11" x14ac:dyDescent="0.3">
      <c r="A88">
        <v>1087</v>
      </c>
      <c r="B88" t="s">
        <v>46</v>
      </c>
      <c r="C88" t="s">
        <v>22</v>
      </c>
      <c r="D88" t="s">
        <v>138</v>
      </c>
      <c r="E88" t="s">
        <v>19</v>
      </c>
      <c r="F88">
        <v>214.36</v>
      </c>
      <c r="G88">
        <v>439</v>
      </c>
      <c r="H88">
        <v>10</v>
      </c>
      <c r="I88" t="s">
        <v>63</v>
      </c>
      <c r="J88" s="1">
        <v>46182</v>
      </c>
      <c r="K88" t="str">
        <f t="shared" si="1"/>
        <v>OK</v>
      </c>
    </row>
    <row r="89" spans="1:11" x14ac:dyDescent="0.3">
      <c r="A89">
        <v>1088</v>
      </c>
      <c r="B89" t="s">
        <v>65</v>
      </c>
      <c r="C89" t="s">
        <v>51</v>
      </c>
      <c r="D89" t="s">
        <v>139</v>
      </c>
      <c r="E89" t="s">
        <v>14</v>
      </c>
      <c r="F89">
        <v>13.92</v>
      </c>
      <c r="G89">
        <v>145</v>
      </c>
      <c r="H89">
        <v>6</v>
      </c>
      <c r="I89" t="s">
        <v>43</v>
      </c>
      <c r="J89" s="1">
        <v>46056</v>
      </c>
      <c r="K89" t="str">
        <f t="shared" si="1"/>
        <v>OK</v>
      </c>
    </row>
    <row r="90" spans="1:11" x14ac:dyDescent="0.3">
      <c r="A90">
        <v>1089</v>
      </c>
      <c r="B90" t="s">
        <v>11</v>
      </c>
      <c r="C90" t="s">
        <v>12</v>
      </c>
      <c r="D90" t="s">
        <v>140</v>
      </c>
      <c r="E90" t="s">
        <v>14</v>
      </c>
      <c r="F90">
        <v>355.76</v>
      </c>
      <c r="G90">
        <v>471</v>
      </c>
      <c r="H90">
        <v>25</v>
      </c>
      <c r="I90" t="s">
        <v>25</v>
      </c>
      <c r="J90" s="1">
        <v>46103</v>
      </c>
      <c r="K90" t="str">
        <f t="shared" si="1"/>
        <v>OK</v>
      </c>
    </row>
    <row r="91" spans="1:11" x14ac:dyDescent="0.3">
      <c r="A91">
        <v>1090</v>
      </c>
      <c r="B91" t="s">
        <v>57</v>
      </c>
      <c r="C91" t="s">
        <v>12</v>
      </c>
      <c r="D91" t="s">
        <v>141</v>
      </c>
      <c r="E91" t="s">
        <v>19</v>
      </c>
      <c r="F91">
        <v>305.63</v>
      </c>
      <c r="G91">
        <v>244</v>
      </c>
      <c r="H91">
        <v>41</v>
      </c>
      <c r="I91" t="s">
        <v>45</v>
      </c>
      <c r="J91" s="1">
        <v>46154</v>
      </c>
      <c r="K91" t="str">
        <f t="shared" si="1"/>
        <v>OK</v>
      </c>
    </row>
    <row r="92" spans="1:11" x14ac:dyDescent="0.3">
      <c r="A92">
        <v>1091</v>
      </c>
      <c r="B92" t="s">
        <v>80</v>
      </c>
      <c r="C92" t="s">
        <v>81</v>
      </c>
      <c r="D92" t="s">
        <v>142</v>
      </c>
      <c r="E92" t="s">
        <v>31</v>
      </c>
      <c r="F92">
        <v>467.94</v>
      </c>
      <c r="G92">
        <v>65</v>
      </c>
      <c r="H92">
        <v>30</v>
      </c>
      <c r="I92" t="s">
        <v>25</v>
      </c>
      <c r="J92" s="1">
        <v>46146</v>
      </c>
      <c r="K92" t="str">
        <f t="shared" si="1"/>
        <v>OK</v>
      </c>
    </row>
    <row r="93" spans="1:11" x14ac:dyDescent="0.3">
      <c r="A93">
        <v>1092</v>
      </c>
      <c r="B93" t="s">
        <v>91</v>
      </c>
      <c r="C93" t="s">
        <v>51</v>
      </c>
      <c r="D93" t="s">
        <v>143</v>
      </c>
      <c r="E93" t="s">
        <v>14</v>
      </c>
      <c r="F93">
        <v>725.69</v>
      </c>
      <c r="G93">
        <v>142</v>
      </c>
      <c r="H93">
        <v>32</v>
      </c>
      <c r="I93" t="s">
        <v>39</v>
      </c>
      <c r="J93" s="1">
        <v>46035</v>
      </c>
      <c r="K93" t="str">
        <f t="shared" si="1"/>
        <v>OK</v>
      </c>
    </row>
    <row r="94" spans="1:11" x14ac:dyDescent="0.3">
      <c r="A94">
        <v>1093</v>
      </c>
      <c r="B94" t="s">
        <v>26</v>
      </c>
      <c r="C94" t="s">
        <v>22</v>
      </c>
      <c r="D94" t="s">
        <v>144</v>
      </c>
      <c r="E94" t="s">
        <v>24</v>
      </c>
      <c r="F94">
        <v>148.13</v>
      </c>
      <c r="G94">
        <v>146</v>
      </c>
      <c r="H94">
        <v>28</v>
      </c>
      <c r="I94" t="s">
        <v>39</v>
      </c>
      <c r="J94" s="1">
        <v>46164</v>
      </c>
      <c r="K94" t="str">
        <f t="shared" si="1"/>
        <v>OK</v>
      </c>
    </row>
    <row r="95" spans="1:11" x14ac:dyDescent="0.3">
      <c r="A95">
        <v>1094</v>
      </c>
      <c r="B95" t="s">
        <v>33</v>
      </c>
      <c r="C95" t="s">
        <v>22</v>
      </c>
      <c r="D95" t="s">
        <v>145</v>
      </c>
      <c r="E95" t="s">
        <v>31</v>
      </c>
      <c r="F95">
        <v>455.85</v>
      </c>
      <c r="G95">
        <v>175</v>
      </c>
      <c r="H95">
        <v>42</v>
      </c>
      <c r="I95" t="s">
        <v>45</v>
      </c>
      <c r="J95" s="1">
        <v>46130</v>
      </c>
      <c r="K95" t="str">
        <f t="shared" si="1"/>
        <v>OK</v>
      </c>
    </row>
    <row r="96" spans="1:11" x14ac:dyDescent="0.3">
      <c r="A96">
        <v>1095</v>
      </c>
      <c r="B96" t="s">
        <v>65</v>
      </c>
      <c r="C96" t="s">
        <v>51</v>
      </c>
      <c r="D96" t="s">
        <v>146</v>
      </c>
      <c r="E96" t="s">
        <v>37</v>
      </c>
      <c r="F96">
        <v>101.42</v>
      </c>
      <c r="G96">
        <v>405</v>
      </c>
      <c r="H96">
        <v>7</v>
      </c>
      <c r="I96" t="s">
        <v>15</v>
      </c>
      <c r="J96" s="1">
        <v>46126</v>
      </c>
      <c r="K96" t="str">
        <f t="shared" si="1"/>
        <v>OK</v>
      </c>
    </row>
    <row r="97" spans="1:11" x14ac:dyDescent="0.3">
      <c r="A97">
        <v>1096</v>
      </c>
      <c r="B97" t="s">
        <v>86</v>
      </c>
      <c r="C97" t="s">
        <v>81</v>
      </c>
      <c r="D97" t="s">
        <v>147</v>
      </c>
      <c r="E97" t="s">
        <v>28</v>
      </c>
      <c r="F97">
        <v>817.25</v>
      </c>
      <c r="G97">
        <v>189</v>
      </c>
      <c r="H97">
        <v>45</v>
      </c>
      <c r="I97" t="s">
        <v>43</v>
      </c>
      <c r="J97" s="1">
        <v>46152</v>
      </c>
      <c r="K97" t="str">
        <f t="shared" si="1"/>
        <v>OK</v>
      </c>
    </row>
    <row r="98" spans="1:11" x14ac:dyDescent="0.3">
      <c r="A98">
        <v>1097</v>
      </c>
      <c r="B98" t="s">
        <v>16</v>
      </c>
      <c r="C98" t="s">
        <v>17</v>
      </c>
      <c r="D98" t="s">
        <v>148</v>
      </c>
      <c r="E98" t="s">
        <v>19</v>
      </c>
      <c r="F98">
        <v>132.87</v>
      </c>
      <c r="G98">
        <v>470</v>
      </c>
      <c r="H98">
        <v>34</v>
      </c>
      <c r="I98" t="s">
        <v>29</v>
      </c>
      <c r="J98" s="1">
        <v>46069</v>
      </c>
      <c r="K98" t="str">
        <f t="shared" si="1"/>
        <v>OK</v>
      </c>
    </row>
    <row r="99" spans="1:11" x14ac:dyDescent="0.3">
      <c r="A99">
        <v>1098</v>
      </c>
      <c r="B99" t="s">
        <v>68</v>
      </c>
      <c r="C99" t="s">
        <v>51</v>
      </c>
      <c r="D99" t="s">
        <v>149</v>
      </c>
      <c r="E99" t="s">
        <v>31</v>
      </c>
      <c r="F99">
        <v>472.07</v>
      </c>
      <c r="G99">
        <v>204</v>
      </c>
      <c r="H99">
        <v>95</v>
      </c>
      <c r="I99" t="s">
        <v>15</v>
      </c>
      <c r="J99" s="1">
        <v>46147</v>
      </c>
      <c r="K99" t="str">
        <f t="shared" si="1"/>
        <v>OK</v>
      </c>
    </row>
    <row r="100" spans="1:11" x14ac:dyDescent="0.3">
      <c r="A100">
        <v>1099</v>
      </c>
      <c r="B100" t="s">
        <v>86</v>
      </c>
      <c r="C100" t="s">
        <v>81</v>
      </c>
      <c r="D100" t="s">
        <v>150</v>
      </c>
      <c r="E100" t="s">
        <v>24</v>
      </c>
      <c r="F100">
        <v>392.71</v>
      </c>
      <c r="G100">
        <v>175</v>
      </c>
      <c r="H100">
        <v>55</v>
      </c>
      <c r="I100" t="s">
        <v>45</v>
      </c>
      <c r="J100" s="1">
        <v>46116</v>
      </c>
      <c r="K100" t="str">
        <f t="shared" si="1"/>
        <v>OK</v>
      </c>
    </row>
    <row r="101" spans="1:11" x14ac:dyDescent="0.3">
      <c r="A101">
        <v>1100</v>
      </c>
      <c r="B101" t="s">
        <v>86</v>
      </c>
      <c r="C101" t="s">
        <v>81</v>
      </c>
      <c r="D101" t="s">
        <v>151</v>
      </c>
      <c r="E101" t="s">
        <v>24</v>
      </c>
      <c r="F101">
        <v>898.11</v>
      </c>
      <c r="G101">
        <v>43</v>
      </c>
      <c r="H101">
        <v>9</v>
      </c>
      <c r="I101" t="s">
        <v>25</v>
      </c>
      <c r="J101" s="1">
        <v>46019</v>
      </c>
      <c r="K101" t="str">
        <f t="shared" si="1"/>
        <v>OK</v>
      </c>
    </row>
  </sheetData>
  <conditionalFormatting sqref="K2:K101">
    <cfRule type="cellIs" dxfId="3" priority="2" operator="equal">
      <formula>"Low Stock"</formula>
    </cfRule>
  </conditionalFormatting>
  <conditionalFormatting sqref="A2:K101">
    <cfRule type="expression" dxfId="2" priority="1" stopIfTrue="1">
      <formula>$K2="Low Stock"</formula>
    </cfRule>
  </conditionalFormatting>
  <pageMargins left="0.75" right="0.75" top="1" bottom="1" header="0.5" footer="0.5"/>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0"/>
  <sheetViews>
    <sheetView showGridLines="0" tabSelected="1" workbookViewId="0">
      <selection activeCell="Q21" sqref="Q21"/>
    </sheetView>
  </sheetViews>
  <sheetFormatPr defaultRowHeight="14.4" x14ac:dyDescent="0.3"/>
  <cols>
    <col min="1" max="1" width="13.44140625" style="3" customWidth="1"/>
    <col min="2" max="2" width="14.88671875" style="3" customWidth="1"/>
    <col min="3" max="3" width="9.109375" style="3" customWidth="1"/>
    <col min="4" max="4" width="8.88671875" style="3"/>
    <col min="5" max="5" width="15.21875" style="3" bestFit="1" customWidth="1"/>
    <col min="6" max="6" width="15.33203125" style="3" customWidth="1"/>
    <col min="7" max="7" width="8.88671875" style="3"/>
    <col min="8" max="8" width="15.6640625" style="3" customWidth="1"/>
    <col min="9" max="9" width="6.109375" style="3" customWidth="1"/>
    <col min="10" max="10" width="5.109375" style="3" customWidth="1"/>
    <col min="11" max="11" width="15.44140625" style="3" bestFit="1" customWidth="1"/>
    <col min="12" max="12" width="7.88671875" style="3" customWidth="1"/>
    <col min="13" max="15" width="8.88671875" style="3"/>
    <col min="16" max="16" width="10.44140625" style="3" bestFit="1" customWidth="1"/>
    <col min="17" max="18" width="10.33203125" style="3" bestFit="1" customWidth="1"/>
    <col min="19" max="16384" width="8.88671875" style="3"/>
  </cols>
  <sheetData>
    <row r="1" spans="1:14" ht="18" x14ac:dyDescent="0.35">
      <c r="B1" s="27" t="s">
        <v>156</v>
      </c>
      <c r="C1" s="27"/>
      <c r="D1" s="27"/>
      <c r="E1" s="27"/>
      <c r="F1" s="27"/>
      <c r="G1" s="27"/>
      <c r="H1" s="27"/>
      <c r="I1" s="27"/>
      <c r="J1" s="27"/>
      <c r="K1" s="27"/>
      <c r="L1" s="27"/>
      <c r="M1" s="27"/>
      <c r="N1" s="27"/>
    </row>
    <row r="3" spans="1:14" x14ac:dyDescent="0.3">
      <c r="B3" s="9" t="s">
        <v>152</v>
      </c>
      <c r="C3" s="10">
        <f>COUNTA(InventoryData[Item ID])</f>
        <v>100</v>
      </c>
      <c r="E3" s="11" t="s">
        <v>153</v>
      </c>
      <c r="F3" s="12">
        <f>SUMPRODUCT(InventoryData[Unit Cost],InventoryData[Quantity In Stock])</f>
        <v>11709550.950000003</v>
      </c>
      <c r="H3" s="13" t="s">
        <v>157</v>
      </c>
      <c r="I3" s="2">
        <f>COUNTIF(InventoryData[Status],"Low Stock")</f>
        <v>6</v>
      </c>
      <c r="K3" s="14" t="s">
        <v>154</v>
      </c>
      <c r="L3" s="15">
        <f>SUMPRODUCT(1/COUNTIF(InventoryData[Category],InventoryData[Category]))</f>
        <v>5.0000000000000036</v>
      </c>
    </row>
    <row r="4" spans="1:14" x14ac:dyDescent="0.3">
      <c r="B4" s="4"/>
    </row>
    <row r="6" spans="1:14" x14ac:dyDescent="0.3">
      <c r="B6" s="4"/>
    </row>
    <row r="8" spans="1:14" x14ac:dyDescent="0.3">
      <c r="B8" s="4"/>
    </row>
    <row r="13" spans="1:14" x14ac:dyDescent="0.3">
      <c r="A13" s="8"/>
      <c r="B13" s="5"/>
      <c r="C13" s="5"/>
      <c r="D13" s="5"/>
      <c r="E13" s="5"/>
    </row>
    <row r="14" spans="1:14" x14ac:dyDescent="0.3">
      <c r="A14" s="5"/>
      <c r="B14" s="5"/>
      <c r="C14" s="5"/>
      <c r="D14" s="5"/>
      <c r="E14" s="5"/>
    </row>
    <row r="15" spans="1:14" x14ac:dyDescent="0.3">
      <c r="A15" s="5"/>
      <c r="B15" s="5"/>
      <c r="C15" s="5"/>
      <c r="D15" s="5"/>
      <c r="E15" s="5"/>
    </row>
    <row r="16" spans="1:14" x14ac:dyDescent="0.3">
      <c r="A16" s="5"/>
      <c r="B16" s="5"/>
      <c r="C16" s="5"/>
      <c r="D16" s="5"/>
      <c r="E16" s="5"/>
    </row>
    <row r="17" spans="1:6" x14ac:dyDescent="0.3">
      <c r="A17" s="5"/>
      <c r="B17" s="5"/>
      <c r="C17" s="5"/>
      <c r="D17" s="5"/>
      <c r="E17" s="5"/>
    </row>
    <row r="18" spans="1:6" x14ac:dyDescent="0.3">
      <c r="A18" s="5"/>
      <c r="B18" s="5"/>
      <c r="C18" s="5"/>
      <c r="D18" s="5"/>
      <c r="E18" s="5"/>
    </row>
    <row r="19" spans="1:6" x14ac:dyDescent="0.3">
      <c r="A19" s="5"/>
      <c r="B19" s="5"/>
      <c r="C19" s="5"/>
      <c r="D19" s="5"/>
      <c r="E19" s="5"/>
    </row>
    <row r="20" spans="1:6" x14ac:dyDescent="0.3">
      <c r="A20" s="5"/>
      <c r="B20" s="5"/>
      <c r="C20" s="5"/>
      <c r="D20" s="5"/>
      <c r="E20" s="5"/>
    </row>
    <row r="21" spans="1:6" x14ac:dyDescent="0.3">
      <c r="A21" s="5"/>
      <c r="B21" s="5"/>
      <c r="C21" s="5"/>
      <c r="D21" s="5"/>
      <c r="E21" s="5"/>
      <c r="F21" s="6"/>
    </row>
    <row r="22" spans="1:6" x14ac:dyDescent="0.3">
      <c r="A22" s="5"/>
      <c r="B22" s="5"/>
      <c r="C22" s="5"/>
      <c r="D22" s="5"/>
      <c r="E22" s="5"/>
      <c r="F22" s="7"/>
    </row>
    <row r="23" spans="1:6" x14ac:dyDescent="0.3">
      <c r="A23" s="5"/>
      <c r="B23" s="5"/>
      <c r="C23" s="5"/>
      <c r="D23" s="5"/>
      <c r="E23" s="5"/>
    </row>
    <row r="45" spans="16:17" x14ac:dyDescent="0.3">
      <c r="P45" s="16" t="s">
        <v>2</v>
      </c>
      <c r="Q45" s="16" t="s">
        <v>155</v>
      </c>
    </row>
    <row r="46" spans="16:17" x14ac:dyDescent="0.3">
      <c r="P46" s="17" t="s">
        <v>12</v>
      </c>
      <c r="Q46" s="17">
        <f>SUMIF(InventoryData[Category],P46,InventoryData[Quantity In Stock])</f>
        <v>4971</v>
      </c>
    </row>
    <row r="47" spans="16:17" x14ac:dyDescent="0.3">
      <c r="P47" s="17" t="s">
        <v>22</v>
      </c>
      <c r="Q47" s="17">
        <f>SUMIF(InventoryData[Category],P47,InventoryData[Quantity In Stock])</f>
        <v>8764</v>
      </c>
    </row>
    <row r="48" spans="16:17" x14ac:dyDescent="0.3">
      <c r="P48" s="17" t="s">
        <v>81</v>
      </c>
      <c r="Q48" s="17">
        <f>SUMIF(InventoryData[Category],P48,InventoryData[Quantity In Stock])</f>
        <v>2811</v>
      </c>
    </row>
    <row r="49" spans="16:17" x14ac:dyDescent="0.3">
      <c r="P49" s="17" t="s">
        <v>17</v>
      </c>
      <c r="Q49" s="17">
        <f>SUMIF(InventoryData[Category],P49,InventoryData[Quantity In Stock])</f>
        <v>3514</v>
      </c>
    </row>
    <row r="50" spans="16:17" x14ac:dyDescent="0.3">
      <c r="P50" s="17" t="s">
        <v>51</v>
      </c>
      <c r="Q50" s="17">
        <f>SUMIF(InventoryData[Category],P50,InventoryData[Quantity In Stock])</f>
        <v>6027</v>
      </c>
    </row>
  </sheetData>
  <mergeCells count="1">
    <mergeCell ref="B1:N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Inventory</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2026-06-20T10:42:35Z</dcterms:created>
  <dcterms:modified xsi:type="dcterms:W3CDTF">2026-06-21T12:24:25Z</dcterms:modified>
</cp:coreProperties>
</file>